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Y\Desktop\"/>
    </mc:Choice>
  </mc:AlternateContent>
  <xr:revisionPtr revIDLastSave="0" documentId="13_ncr:1_{ACD711CB-581C-4462-A532-A9B879DB65E4}" xr6:coauthVersionLast="47" xr6:coauthVersionMax="47" xr10:uidLastSave="{00000000-0000-0000-0000-000000000000}"/>
  <bookViews>
    <workbookView xWindow="3930" yWindow="1170" windowWidth="24945" windowHeight="14310" xr2:uid="{CF096160-2EEB-45C3-AAF4-FB7B90963103}"/>
  </bookViews>
  <sheets>
    <sheet name="지급가상계산26" sheetId="1" r:id="rId1"/>
  </sheets>
  <externalReferences>
    <externalReference r:id="rId2"/>
  </externalReferences>
  <definedNames>
    <definedName name="_xlnm.Print_Titles">#REF!</definedName>
    <definedName name="ㅁㅁㅁㅁ" localSheetId="0">#REF!</definedName>
    <definedName name="ㅁㅁㅁㅁ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L50" i="1" l="1"/>
  <c r="L44" i="1"/>
  <c r="E42" i="1"/>
  <c r="E40" i="1"/>
  <c r="E39" i="1"/>
  <c r="E41" i="1" s="1"/>
  <c r="L38" i="1"/>
  <c r="E31" i="1"/>
  <c r="E35" i="1" s="1"/>
  <c r="C27" i="1"/>
  <c r="D29" i="1" s="1"/>
  <c r="G25" i="1"/>
  <c r="E25" i="1"/>
  <c r="G24" i="1"/>
  <c r="E24" i="1"/>
  <c r="G23" i="1"/>
  <c r="E23" i="1"/>
  <c r="O22" i="1"/>
  <c r="N22" i="1"/>
  <c r="L22" i="1"/>
  <c r="K22" i="1"/>
  <c r="G22" i="1"/>
  <c r="E22" i="1"/>
  <c r="O21" i="1"/>
  <c r="N21" i="1"/>
  <c r="L21" i="1"/>
  <c r="K21" i="1"/>
  <c r="G21" i="1"/>
  <c r="E21" i="1"/>
  <c r="O20" i="1"/>
  <c r="N20" i="1"/>
  <c r="L20" i="1"/>
  <c r="K20" i="1"/>
  <c r="G20" i="1"/>
  <c r="E20" i="1"/>
  <c r="O19" i="1"/>
  <c r="N19" i="1"/>
  <c r="L19" i="1"/>
  <c r="K19" i="1"/>
  <c r="G19" i="1"/>
  <c r="E19" i="1"/>
  <c r="O18" i="1"/>
  <c r="N18" i="1"/>
  <c r="L18" i="1"/>
  <c r="K18" i="1"/>
  <c r="G18" i="1"/>
  <c r="E18" i="1"/>
  <c r="O17" i="1"/>
  <c r="N17" i="1"/>
  <c r="L17" i="1"/>
  <c r="K17" i="1"/>
  <c r="G17" i="1"/>
  <c r="E17" i="1"/>
  <c r="B17" i="1"/>
  <c r="O16" i="1"/>
  <c r="N16" i="1"/>
  <c r="L16" i="1"/>
  <c r="K16" i="1"/>
  <c r="G16" i="1"/>
  <c r="E16" i="1"/>
  <c r="O15" i="1"/>
  <c r="N15" i="1"/>
  <c r="L15" i="1"/>
  <c r="K15" i="1"/>
  <c r="G15" i="1"/>
  <c r="E15" i="1"/>
  <c r="O14" i="1"/>
  <c r="N14" i="1"/>
  <c r="L14" i="1"/>
  <c r="K14" i="1"/>
  <c r="G14" i="1"/>
  <c r="E14" i="1"/>
  <c r="O13" i="1"/>
  <c r="N13" i="1"/>
  <c r="L13" i="1"/>
  <c r="K13" i="1"/>
  <c r="G12" i="1"/>
  <c r="C12" i="1"/>
  <c r="D11" i="1" s="1"/>
  <c r="B10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D3" i="1"/>
  <c r="B3" i="1"/>
  <c r="E2" i="1"/>
  <c r="G2" i="1" s="1"/>
  <c r="E1" i="1"/>
  <c r="G1" i="1" s="1"/>
  <c r="E36" i="1" l="1"/>
  <c r="E32" i="1"/>
  <c r="E33" i="1"/>
  <c r="E34" i="1"/>
  <c r="D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KSY</author>
  </authors>
  <commentList>
    <comment ref="N3" authorId="0" shapeId="0" xr:uid="{056E0EAE-84F3-4BCD-AEC0-183F1691F55E}">
      <text>
        <r>
          <rPr>
            <b/>
            <sz val="9"/>
            <color indexed="81"/>
            <rFont val="Tahoma"/>
            <family val="2"/>
          </rPr>
          <t>100-15-10=
75%
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75%</t>
        </r>
      </text>
    </comment>
    <comment ref="O3" authorId="0" shapeId="0" xr:uid="{89024139-8C24-4B58-B751-2CB27B7DC602}">
      <text>
        <r>
          <rPr>
            <b/>
            <sz val="9"/>
            <color indexed="81"/>
            <rFont val="Tahoma"/>
            <family val="2"/>
          </rPr>
          <t>100-15-10-5=
70%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100%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N4" authorId="0" shapeId="0" xr:uid="{275578F2-D4CD-406E-8D92-96C10B365E14}">
      <text>
        <r>
          <rPr>
            <b/>
            <sz val="9"/>
            <color indexed="81"/>
            <rFont val="Tahoma"/>
            <family val="2"/>
          </rPr>
          <t xml:space="preserve">100-12-10=
78%
</t>
        </r>
      </text>
    </comment>
    <comment ref="O4" authorId="0" shapeId="0" xr:uid="{D09D8EE8-8691-43B9-808E-1B7EC689FE44}">
      <text>
        <r>
          <rPr>
            <b/>
            <sz val="9"/>
            <color indexed="81"/>
            <rFont val="Tahoma"/>
            <family val="2"/>
          </rPr>
          <t>73%</t>
        </r>
      </text>
    </comment>
    <comment ref="N5" authorId="0" shapeId="0" xr:uid="{630C1337-8BF2-44FD-BC2A-59FB06DA26CC}">
      <text>
        <r>
          <rPr>
            <b/>
            <sz val="9"/>
            <color indexed="81"/>
            <rFont val="Tahoma"/>
            <family val="2"/>
          </rPr>
          <t>81%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" authorId="0" shapeId="0" xr:uid="{D4A9E7B0-8DD2-471B-AD69-6C215ACA8134}">
      <text>
        <r>
          <rPr>
            <b/>
            <sz val="9"/>
            <color indexed="81"/>
            <rFont val="Tahoma"/>
            <family val="2"/>
          </rPr>
          <t>76%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" authorId="0" shapeId="0" xr:uid="{A2BACA05-210E-44AA-B3CA-969171DFD1C1}">
      <text>
        <r>
          <rPr>
            <b/>
            <sz val="9"/>
            <color indexed="81"/>
            <rFont val="Tahoma"/>
            <family val="2"/>
          </rPr>
          <t xml:space="preserve">84%
</t>
        </r>
      </text>
    </comment>
    <comment ref="O6" authorId="0" shapeId="0" xr:uid="{260F1FF2-D711-4F40-A97B-C0B50AAB42A9}">
      <text>
        <r>
          <rPr>
            <b/>
            <sz val="9"/>
            <color indexed="81"/>
            <rFont val="Tahoma"/>
            <family val="2"/>
          </rPr>
          <t>79%</t>
        </r>
      </text>
    </comment>
    <comment ref="N7" authorId="0" shapeId="0" xr:uid="{781885D3-3B74-4C47-9DC0-95499C5F8381}">
      <text>
        <r>
          <rPr>
            <b/>
            <sz val="10"/>
            <color indexed="81"/>
            <rFont val="Tahoma"/>
            <family val="2"/>
          </rPr>
          <t>87%
=97-10
100%</t>
        </r>
        <r>
          <rPr>
            <b/>
            <sz val="10"/>
            <color indexed="81"/>
            <rFont val="돋움"/>
            <family val="3"/>
            <charset val="129"/>
          </rPr>
          <t>금액의</t>
        </r>
        <r>
          <rPr>
            <b/>
            <sz val="10"/>
            <color indexed="81"/>
            <rFont val="Tahoma"/>
            <family val="2"/>
          </rPr>
          <t xml:space="preserve"> 87%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" authorId="0" shapeId="0" xr:uid="{A4745BDF-2164-495C-A806-5FFE3B2F608A}">
      <text>
        <r>
          <rPr>
            <b/>
            <sz val="9"/>
            <color indexed="81"/>
            <rFont val="Tahoma"/>
            <family val="2"/>
          </rPr>
          <t>82%</t>
        </r>
      </text>
    </comment>
    <comment ref="N8" authorId="0" shapeId="0" xr:uid="{22C2F908-7B13-478C-B66D-06DFA9E9742D}">
      <text>
        <r>
          <rPr>
            <b/>
            <sz val="9"/>
            <color indexed="81"/>
            <rFont val="Tahoma"/>
            <family val="2"/>
          </rPr>
          <t>90%</t>
        </r>
      </text>
    </comment>
    <comment ref="O8" authorId="0" shapeId="0" xr:uid="{F2D1DF73-8DEF-45DD-8D54-F9A67D5E2C06}">
      <text>
        <r>
          <rPr>
            <b/>
            <sz val="9"/>
            <color indexed="81"/>
            <rFont val="Tahoma"/>
            <family val="2"/>
          </rPr>
          <t>85%</t>
        </r>
      </text>
    </comment>
    <comment ref="M13" authorId="0" shapeId="0" xr:uid="{6FDF412D-4C99-4CE4-B182-45A4275F5913}">
      <text>
        <r>
          <rPr>
            <b/>
            <sz val="9"/>
            <color rgb="FF000000"/>
            <rFont val="Tahoma"/>
            <family val="2"/>
          </rPr>
          <t>2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(24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14" authorId="0" shapeId="0" xr:uid="{0DB87B47-FF3F-4D9D-8B0B-F1BFE2FE6A93}">
      <text>
        <r>
          <rPr>
            <b/>
            <sz val="9"/>
            <color rgb="FF000000"/>
            <rFont val="Tahoma"/>
            <family val="2"/>
          </rPr>
          <t>4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(48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15" authorId="0" shapeId="0" xr:uid="{52FC86FC-0CDC-444A-8443-CDF93F8FD963}">
      <text>
        <r>
          <rPr>
            <b/>
            <sz val="9"/>
            <color rgb="FF000000"/>
            <rFont val="Tahoma"/>
            <family val="2"/>
          </rPr>
          <t>6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(72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16" authorId="0" shapeId="0" xr:uid="{DAC578A2-D5F5-4649-8C11-7E4141F95AB1}">
      <text>
        <r>
          <rPr>
            <b/>
            <sz val="9"/>
            <color rgb="FF000000"/>
            <rFont val="Tahoma"/>
            <family val="2"/>
          </rPr>
          <t>8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(96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17" authorId="0" shapeId="0" xr:uid="{92378EDA-A6A8-439B-88F1-171CA80528A9}">
      <text>
        <r>
          <rPr>
            <b/>
            <sz val="9"/>
            <color rgb="FF000000"/>
            <rFont val="Tahoma"/>
            <family val="2"/>
          </rPr>
          <t>10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(120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18" authorId="0" shapeId="0" xr:uid="{8A9CAB47-E411-47C9-A05A-E54A695BF5A3}">
      <text>
        <r>
          <rPr>
            <b/>
            <sz val="9"/>
            <color rgb="FF000000"/>
            <rFont val="Tahoma"/>
            <family val="2"/>
          </rPr>
          <t>12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(144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19" authorId="0" shapeId="0" xr:uid="{CF075400-7B9C-4A1F-A7DF-77B5D79A1C37}">
      <text>
        <r>
          <rPr>
            <b/>
            <sz val="9"/>
            <color rgb="FF000000"/>
            <rFont val="Tahoma"/>
            <family val="2"/>
          </rPr>
          <t>14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(168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20" authorId="0" shapeId="0" xr:uid="{2E18AC9D-0DD4-45BD-932E-5692B07ACA3D}">
      <text>
        <r>
          <rPr>
            <b/>
            <sz val="9"/>
            <color rgb="FF000000"/>
            <rFont val="Tahoma"/>
            <family val="2"/>
          </rPr>
          <t>16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(192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21" authorId="0" shapeId="0" xr:uid="{16E88063-8460-4EBE-B647-8861AEBEB932}">
      <text>
        <r>
          <rPr>
            <b/>
            <sz val="9"/>
            <color rgb="FF000000"/>
            <rFont val="Tahoma"/>
            <family val="2"/>
          </rPr>
          <t>18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(216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M22" authorId="0" shapeId="0" xr:uid="{8C8EB4B3-EC47-46AE-A82B-9B3F58D9E830}">
      <text>
        <r>
          <rPr>
            <b/>
            <sz val="9"/>
            <color rgb="FF000000"/>
            <rFont val="Tahoma"/>
            <family val="2"/>
          </rPr>
          <t>20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>(240</t>
        </r>
        <r>
          <rPr>
            <b/>
            <sz val="9"/>
            <color rgb="FF000000"/>
            <rFont val="돋움"/>
            <family val="3"/>
            <charset val="129"/>
          </rPr>
          <t>개월</t>
        </r>
        <r>
          <rPr>
            <b/>
            <sz val="9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<sst xmlns="http://schemas.openxmlformats.org/spreadsheetml/2006/main" count="109" uniqueCount="96">
  <si>
    <t>기준봉급</t>
  </si>
  <si>
    <t>20년납</t>
  </si>
  <si>
    <t>100%비율(70세기준금액)에서 2차-10%</t>
    <phoneticPr fontId="6" type="noConversion"/>
  </si>
  <si>
    <t>15년납</t>
  </si>
  <si>
    <t>산정비율</t>
    <phoneticPr fontId="7" type="noConversion"/>
  </si>
  <si>
    <t>퇴직연령</t>
  </si>
  <si>
    <t>연자적용비율</t>
  </si>
  <si>
    <t>10년차까지</t>
    <phoneticPr fontId="7" type="noConversion"/>
  </si>
  <si>
    <t>11-15년차-10%</t>
    <phoneticPr fontId="7" type="noConversion"/>
  </si>
  <si>
    <t>16년차이상-5%</t>
    <phoneticPr fontId="6" type="noConversion"/>
  </si>
  <si>
    <t>지급예상액</t>
  </si>
  <si>
    <t>백원절사</t>
  </si>
  <si>
    <t>65세</t>
  </si>
  <si>
    <t>기본지급비율</t>
  </si>
  <si>
    <t>66세</t>
  </si>
  <si>
    <t>현재납입연수</t>
  </si>
  <si>
    <t>현재납입월수</t>
  </si>
  <si>
    <t>추가납입연수</t>
  </si>
  <si>
    <t>추가납입개월수</t>
  </si>
  <si>
    <t>67세</t>
  </si>
  <si>
    <t>1994년1월 이후 가입자
15년 납입 후 수령</t>
  </si>
  <si>
    <t>68세</t>
  </si>
  <si>
    <t>69세</t>
  </si>
  <si>
    <t>70세</t>
  </si>
  <si>
    <t>현납입년으로 지급계산</t>
  </si>
  <si>
    <t>납입월 추가 계산</t>
  </si>
  <si>
    <t>비율</t>
  </si>
  <si>
    <t>비율합</t>
  </si>
  <si>
    <t>특약가상적용</t>
  </si>
  <si>
    <t>특약납입단위</t>
  </si>
  <si>
    <t>4년시-2단계</t>
  </si>
  <si>
    <t>추가지급비율</t>
  </si>
  <si>
    <t>1년-29000원(2026년)</t>
    <phoneticPr fontId="6" type="noConversion"/>
  </si>
  <si>
    <t>3단계(1단:2년납)</t>
  </si>
  <si>
    <t>특약비율</t>
  </si>
  <si>
    <t>4단계(1단:2년납)</t>
  </si>
  <si>
    <t>20년초과납입연수</t>
  </si>
  <si>
    <t>납입월수</t>
  </si>
  <si>
    <t>1994년1월 이전 가입자
20년 납입 후 수령</t>
  </si>
  <si>
    <t>총납입기간</t>
    <phoneticPr fontId="6" type="noConversion"/>
  </si>
  <si>
    <t>지인성</t>
    <phoneticPr fontId="6" type="noConversion"/>
  </si>
  <si>
    <t>군산</t>
    <phoneticPr fontId="6" type="noConversion"/>
  </si>
  <si>
    <t>장철희</t>
    <phoneticPr fontId="6" type="noConversion"/>
  </si>
  <si>
    <t>34/8+14</t>
    <phoneticPr fontId="6" type="noConversion"/>
  </si>
  <si>
    <t>나이계산</t>
  </si>
  <si>
    <t>현재(만)나이</t>
  </si>
  <si>
    <t>65세까지</t>
  </si>
  <si>
    <t>김진열</t>
    <phoneticPr fontId="6" type="noConversion"/>
  </si>
  <si>
    <t>생년</t>
  </si>
  <si>
    <t>추가납입년수</t>
  </si>
  <si>
    <t>(만나이)</t>
  </si>
  <si>
    <t>70세까지</t>
  </si>
  <si>
    <t>임세훈</t>
    <phoneticPr fontId="6" type="noConversion"/>
  </si>
  <si>
    <t>34/6+12</t>
    <phoneticPr fontId="6" type="noConversion"/>
  </si>
  <si>
    <t>횟수로</t>
  </si>
  <si>
    <t>서울동</t>
  </si>
  <si>
    <t>김충섭</t>
  </si>
  <si>
    <t>35+10</t>
  </si>
  <si>
    <t>2022.05:지급총액5억시작</t>
  </si>
  <si>
    <t>지급결정액계산</t>
  </si>
  <si>
    <t>일반납입비율</t>
  </si>
  <si>
    <t>특약납입비율</t>
  </si>
  <si>
    <t>지급결정액</t>
  </si>
  <si>
    <t>충남</t>
  </si>
  <si>
    <t>이광규</t>
  </si>
  <si>
    <t>33/3+10</t>
  </si>
  <si>
    <t>전북</t>
  </si>
  <si>
    <t>채규방</t>
  </si>
  <si>
    <t>33/2+10</t>
  </si>
  <si>
    <t>만65세</t>
    <phoneticPr fontId="6" type="noConversion"/>
  </si>
  <si>
    <t>만66세</t>
  </si>
  <si>
    <t>만67세</t>
  </si>
  <si>
    <t>퇴직일시 1건 (2021.05.06)</t>
  </si>
  <si>
    <t>서울동/신우인</t>
  </si>
  <si>
    <t>만68세</t>
  </si>
  <si>
    <t>총납입액:</t>
  </si>
  <si>
    <t>만69세</t>
  </si>
  <si>
    <t>불입기간:</t>
  </si>
  <si>
    <t>20년6개월</t>
  </si>
  <si>
    <t>연9%적용</t>
  </si>
  <si>
    <t>총지급액:</t>
  </si>
  <si>
    <t>납입액 반환시 계산</t>
    <phoneticPr fontId="6" type="noConversion"/>
  </si>
  <si>
    <t>반환할</t>
    <phoneticPr fontId="6" type="noConversion"/>
  </si>
  <si>
    <t>84만원*12개월*11년</t>
  </si>
  <si>
    <t>납입총액</t>
    <phoneticPr fontId="6" type="noConversion"/>
  </si>
  <si>
    <t>기여금</t>
    <phoneticPr fontId="6" type="noConversion"/>
  </si>
  <si>
    <t>부담금</t>
    <phoneticPr fontId="6" type="noConversion"/>
  </si>
  <si>
    <t>퇴직일시 1건 (2019.12.11)</t>
  </si>
  <si>
    <t>대전광역/구홍회</t>
  </si>
  <si>
    <t>21년3개월</t>
  </si>
  <si>
    <t>연11%적용</t>
  </si>
  <si>
    <t>84만원*12개월*10년</t>
  </si>
  <si>
    <t>퇴직일시 1건 (2021.04.02)</t>
  </si>
  <si>
    <t>인천/박동일</t>
  </si>
  <si>
    <t>30년9개월</t>
  </si>
  <si>
    <t>84만원*12개월*15년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</si>
</sst>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_-;\-* #,##0_-;_-* &quot;-&quot;??_-;_-@_-"/>
    <numFmt numFmtId="177" formatCode="_-* #,##0.00_-;\-* #,##0.00_-;_-* &quot;-&quot;_-;_-@_-"/>
    <numFmt numFmtId="178" formatCode="#,##0.00_ "/>
    <numFmt numFmtId="179" formatCode="#,##0_);[Red]\(#,##0\)"/>
    <numFmt numFmtId="180" formatCode="_-* #,##0_-;\-* #,##0_-;_-* &quot;-&quot;?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theme="3" tint="0.39997558519241921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1">
      <alignment vertical="center"/>
    </xf>
    <xf numFmtId="41" fontId="4" fillId="2" borderId="0" xfId="2" applyFont="1" applyFill="1">
      <alignment vertical="center"/>
    </xf>
    <xf numFmtId="9" fontId="2" fillId="0" borderId="0" xfId="1" applyNumberFormat="1">
      <alignment vertical="center"/>
    </xf>
    <xf numFmtId="0" fontId="2" fillId="3" borderId="0" xfId="1" applyFill="1">
      <alignment vertical="center"/>
    </xf>
    <xf numFmtId="41" fontId="2" fillId="3" borderId="0" xfId="2" applyFill="1">
      <alignment vertical="center"/>
    </xf>
    <xf numFmtId="41" fontId="2" fillId="0" borderId="0" xfId="2">
      <alignment vertical="center"/>
    </xf>
    <xf numFmtId="0" fontId="5" fillId="0" borderId="0" xfId="1" applyFont="1">
      <alignment vertical="center"/>
    </xf>
    <xf numFmtId="9" fontId="5" fillId="4" borderId="0" xfId="1" applyNumberFormat="1" applyFont="1" applyFill="1" applyAlignment="1">
      <alignment horizontal="right" vertical="center"/>
    </xf>
    <xf numFmtId="9" fontId="5" fillId="0" borderId="0" xfId="1" applyNumberFormat="1" applyFo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2" fillId="0" borderId="1" xfId="1" applyBorder="1">
      <alignment vertical="center"/>
    </xf>
    <xf numFmtId="0" fontId="2" fillId="4" borderId="1" xfId="1" applyFill="1" applyBorder="1">
      <alignment vertical="center"/>
    </xf>
    <xf numFmtId="0" fontId="4" fillId="3" borderId="0" xfId="1" applyFont="1" applyFill="1">
      <alignment vertical="center"/>
    </xf>
    <xf numFmtId="176" fontId="4" fillId="6" borderId="0" xfId="2" applyNumberFormat="1" applyFont="1" applyFill="1">
      <alignment vertical="center"/>
    </xf>
    <xf numFmtId="0" fontId="2" fillId="6" borderId="0" xfId="1" applyFill="1">
      <alignment vertical="center"/>
    </xf>
    <xf numFmtId="177" fontId="4" fillId="6" borderId="0" xfId="2" applyNumberFormat="1" applyFont="1" applyFill="1">
      <alignment vertical="center"/>
    </xf>
    <xf numFmtId="0" fontId="4" fillId="7" borderId="1" xfId="1" applyFont="1" applyFill="1" applyBorder="1">
      <alignment vertical="center"/>
    </xf>
    <xf numFmtId="9" fontId="4" fillId="0" borderId="1" xfId="1" applyNumberFormat="1" applyFont="1" applyBorder="1">
      <alignment vertical="center"/>
    </xf>
    <xf numFmtId="41" fontId="4" fillId="0" borderId="1" xfId="2" applyFont="1" applyBorder="1">
      <alignment vertical="center"/>
    </xf>
    <xf numFmtId="9" fontId="2" fillId="6" borderId="0" xfId="1" applyNumberFormat="1" applyFill="1">
      <alignment vertical="center"/>
    </xf>
    <xf numFmtId="10" fontId="2" fillId="6" borderId="0" xfId="1" applyNumberFormat="1" applyFill="1">
      <alignment vertical="center"/>
    </xf>
    <xf numFmtId="0" fontId="2" fillId="7" borderId="1" xfId="1" applyFill="1" applyBorder="1">
      <alignment vertical="center"/>
    </xf>
    <xf numFmtId="41" fontId="2" fillId="0" borderId="1" xfId="2" applyBorder="1" applyAlignment="1">
      <alignment horizontal="center" vertical="center"/>
    </xf>
    <xf numFmtId="9" fontId="2" fillId="0" borderId="0" xfId="2" applyNumberFormat="1">
      <alignment vertical="center"/>
    </xf>
    <xf numFmtId="41" fontId="2" fillId="0" borderId="1" xfId="1" applyNumberFormat="1" applyBorder="1" applyAlignment="1">
      <alignment horizontal="center" vertical="center"/>
    </xf>
    <xf numFmtId="0" fontId="2" fillId="3" borderId="0" xfId="1" applyFill="1" applyAlignment="1">
      <alignment horizontal="center" vertical="center" wrapText="1"/>
    </xf>
    <xf numFmtId="0" fontId="2" fillId="6" borderId="2" xfId="1" applyFill="1" applyBorder="1">
      <alignment vertical="center"/>
    </xf>
    <xf numFmtId="0" fontId="2" fillId="6" borderId="3" xfId="1" applyFill="1" applyBorder="1">
      <alignment vertical="center"/>
    </xf>
    <xf numFmtId="0" fontId="2" fillId="6" borderId="4" xfId="1" applyFill="1" applyBorder="1">
      <alignment vertical="center"/>
    </xf>
    <xf numFmtId="0" fontId="2" fillId="3" borderId="0" xfId="1" applyFill="1" applyAlignment="1">
      <alignment horizontal="center" vertical="center"/>
    </xf>
    <xf numFmtId="0" fontId="9" fillId="0" borderId="0" xfId="1" applyFont="1">
      <alignment vertical="center"/>
    </xf>
    <xf numFmtId="0" fontId="4" fillId="0" borderId="0" xfId="1" applyFont="1">
      <alignment vertical="center"/>
    </xf>
    <xf numFmtId="0" fontId="4" fillId="8" borderId="0" xfId="1" applyFont="1" applyFill="1">
      <alignment vertical="center"/>
    </xf>
    <xf numFmtId="41" fontId="2" fillId="8" borderId="0" xfId="1" applyNumberFormat="1" applyFill="1">
      <alignment vertical="center"/>
    </xf>
    <xf numFmtId="0" fontId="2" fillId="3" borderId="0" xfId="1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8" borderId="0" xfId="1" applyFill="1">
      <alignment vertical="center"/>
    </xf>
    <xf numFmtId="9" fontId="5" fillId="0" borderId="0" xfId="2" applyNumberFormat="1" applyFont="1">
      <alignment vertical="center"/>
    </xf>
    <xf numFmtId="0" fontId="1" fillId="0" borderId="0" xfId="3">
      <alignment vertical="center"/>
    </xf>
    <xf numFmtId="41" fontId="2" fillId="0" borderId="0" xfId="1" applyNumberFormat="1">
      <alignment vertical="center"/>
    </xf>
    <xf numFmtId="9" fontId="2" fillId="9" borderId="0" xfId="2" applyNumberFormat="1" applyFill="1">
      <alignment vertical="center"/>
    </xf>
    <xf numFmtId="178" fontId="2" fillId="9" borderId="0" xfId="1" applyNumberFormat="1" applyFill="1" applyAlignment="1">
      <alignment horizontal="center" vertical="center"/>
    </xf>
    <xf numFmtId="178" fontId="10" fillId="2" borderId="0" xfId="1" applyNumberFormat="1" applyFont="1" applyFill="1" applyAlignment="1">
      <alignment horizontal="center" vertical="center"/>
    </xf>
    <xf numFmtId="9" fontId="11" fillId="10" borderId="0" xfId="1" applyNumberFormat="1" applyFont="1" applyFill="1">
      <alignment vertical="center"/>
    </xf>
    <xf numFmtId="178" fontId="2" fillId="10" borderId="0" xfId="1" applyNumberFormat="1" applyFill="1" applyAlignment="1">
      <alignment horizontal="center" vertical="center"/>
    </xf>
    <xf numFmtId="10" fontId="2" fillId="8" borderId="0" xfId="1" applyNumberFormat="1" applyFill="1">
      <alignment vertical="center"/>
    </xf>
    <xf numFmtId="41" fontId="2" fillId="11" borderId="0" xfId="2" applyFill="1">
      <alignment vertical="center"/>
    </xf>
    <xf numFmtId="0" fontId="8" fillId="12" borderId="0" xfId="1" applyFont="1" applyFill="1">
      <alignment vertical="center"/>
    </xf>
    <xf numFmtId="9" fontId="2" fillId="12" borderId="0" xfId="1" applyNumberFormat="1" applyFill="1">
      <alignment vertical="center"/>
    </xf>
    <xf numFmtId="0" fontId="2" fillId="12" borderId="0" xfId="1" applyFill="1">
      <alignment vertical="center"/>
    </xf>
    <xf numFmtId="0" fontId="5" fillId="13" borderId="0" xfId="1" applyFont="1" applyFill="1">
      <alignment vertical="center"/>
    </xf>
    <xf numFmtId="9" fontId="2" fillId="13" borderId="0" xfId="1" applyNumberFormat="1" applyFill="1">
      <alignment vertical="center"/>
    </xf>
    <xf numFmtId="0" fontId="2" fillId="13" borderId="0" xfId="1" applyFill="1">
      <alignment vertical="center"/>
    </xf>
    <xf numFmtId="41" fontId="2" fillId="12" borderId="0" xfId="1" applyNumberFormat="1" applyFill="1">
      <alignment vertical="center"/>
    </xf>
    <xf numFmtId="2" fontId="2" fillId="12" borderId="0" xfId="1" applyNumberFormat="1" applyFill="1">
      <alignment vertical="center"/>
    </xf>
    <xf numFmtId="41" fontId="2" fillId="13" borderId="0" xfId="1" applyNumberFormat="1" applyFill="1">
      <alignment vertical="center"/>
    </xf>
    <xf numFmtId="2" fontId="2" fillId="13" borderId="0" xfId="1" applyNumberFormat="1" applyFill="1">
      <alignment vertical="center"/>
    </xf>
    <xf numFmtId="0" fontId="2" fillId="8" borderId="0" xfId="1" applyFill="1" applyAlignment="1">
      <alignment horizontal="center" vertical="center" wrapText="1"/>
    </xf>
    <xf numFmtId="0" fontId="10" fillId="14" borderId="5" xfId="1" applyFont="1" applyFill="1" applyBorder="1">
      <alignment vertical="center"/>
    </xf>
    <xf numFmtId="2" fontId="2" fillId="8" borderId="0" xfId="1" applyNumberFormat="1" applyFill="1">
      <alignment vertical="center"/>
    </xf>
    <xf numFmtId="176" fontId="2" fillId="8" borderId="0" xfId="1" applyNumberFormat="1" applyFill="1">
      <alignment vertical="center"/>
    </xf>
    <xf numFmtId="0" fontId="2" fillId="8" borderId="0" xfId="1" applyFill="1" applyAlignment="1">
      <alignment horizontal="center" vertical="center"/>
    </xf>
    <xf numFmtId="0" fontId="12" fillId="14" borderId="6" xfId="1" applyFont="1" applyFill="1" applyBorder="1">
      <alignment vertical="center"/>
    </xf>
    <xf numFmtId="0" fontId="2" fillId="14" borderId="0" xfId="1" applyFill="1">
      <alignment vertical="center"/>
    </xf>
    <xf numFmtId="0" fontId="2" fillId="0" borderId="0" xfId="1" applyAlignment="1">
      <alignment horizontal="right" vertical="center"/>
    </xf>
    <xf numFmtId="0" fontId="13" fillId="12" borderId="0" xfId="1" applyFont="1" applyFill="1">
      <alignment vertical="center"/>
    </xf>
    <xf numFmtId="41" fontId="13" fillId="12" borderId="0" xfId="1" applyNumberFormat="1" applyFont="1" applyFill="1">
      <alignment vertical="center"/>
    </xf>
    <xf numFmtId="2" fontId="13" fillId="12" borderId="0" xfId="1" applyNumberFormat="1" applyFont="1" applyFill="1">
      <alignment vertical="center"/>
    </xf>
    <xf numFmtId="0" fontId="13" fillId="13" borderId="0" xfId="1" applyFont="1" applyFill="1">
      <alignment vertical="center"/>
    </xf>
    <xf numFmtId="41" fontId="13" fillId="13" borderId="0" xfId="1" applyNumberFormat="1" applyFont="1" applyFill="1">
      <alignment vertical="center"/>
    </xf>
    <xf numFmtId="2" fontId="13" fillId="13" borderId="0" xfId="1" applyNumberFormat="1" applyFont="1" applyFill="1">
      <alignment vertical="center"/>
    </xf>
    <xf numFmtId="2" fontId="2" fillId="0" borderId="0" xfId="1" applyNumberFormat="1">
      <alignment vertical="center"/>
    </xf>
    <xf numFmtId="49" fontId="2" fillId="6" borderId="0" xfId="4" applyNumberFormat="1" applyFont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15" borderId="0" xfId="1" applyFill="1">
      <alignment vertical="center"/>
    </xf>
    <xf numFmtId="0" fontId="2" fillId="2" borderId="0" xfId="1" applyFill="1">
      <alignment vertical="center"/>
    </xf>
    <xf numFmtId="0" fontId="2" fillId="6" borderId="0" xfId="4" applyFont="1" applyFill="1" applyAlignment="1">
      <alignment horizontal="center" vertical="center"/>
    </xf>
    <xf numFmtId="0" fontId="2" fillId="6" borderId="0" xfId="1" applyFill="1" applyAlignment="1">
      <alignment horizontal="center" vertical="center"/>
    </xf>
    <xf numFmtId="41" fontId="2" fillId="6" borderId="0" xfId="2" applyFill="1">
      <alignment vertical="center"/>
    </xf>
    <xf numFmtId="49" fontId="0" fillId="6" borderId="0" xfId="4" applyNumberFormat="1" applyFont="1" applyFill="1" applyAlignment="1">
      <alignment horizontal="center" vertical="center"/>
    </xf>
    <xf numFmtId="0" fontId="0" fillId="6" borderId="0" xfId="4" applyFont="1" applyFill="1" applyAlignment="1">
      <alignment horizontal="center" vertical="center"/>
    </xf>
    <xf numFmtId="0" fontId="2" fillId="11" borderId="0" xfId="1" applyFill="1" applyAlignment="1">
      <alignment horizontal="center" vertical="center"/>
    </xf>
    <xf numFmtId="0" fontId="2" fillId="11" borderId="0" xfId="1" applyFill="1">
      <alignment vertical="center"/>
    </xf>
    <xf numFmtId="0" fontId="5" fillId="16" borderId="0" xfId="1" applyFont="1" applyFill="1">
      <alignment vertical="center"/>
    </xf>
    <xf numFmtId="0" fontId="5" fillId="11" borderId="0" xfId="1" applyFont="1" applyFill="1">
      <alignment vertical="center"/>
    </xf>
    <xf numFmtId="179" fontId="2" fillId="6" borderId="0" xfId="1" applyNumberFormat="1" applyFill="1" applyAlignment="1">
      <alignment horizontal="right" vertical="center"/>
    </xf>
    <xf numFmtId="0" fontId="0" fillId="6" borderId="0" xfId="4" applyFont="1" applyFill="1" applyAlignment="1">
      <alignment horizontal="left" vertical="center"/>
    </xf>
    <xf numFmtId="0" fontId="2" fillId="16" borderId="0" xfId="1" applyFill="1">
      <alignment vertical="center"/>
    </xf>
    <xf numFmtId="41" fontId="2" fillId="6" borderId="0" xfId="2" applyFill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2" fillId="11" borderId="0" xfId="1" applyFill="1" applyAlignment="1">
      <alignment horizontal="left" vertical="center"/>
    </xf>
    <xf numFmtId="41" fontId="2" fillId="11" borderId="0" xfId="2" applyFill="1" applyAlignment="1">
      <alignment horizontal="right" vertical="center"/>
    </xf>
    <xf numFmtId="0" fontId="0" fillId="11" borderId="0" xfId="4" applyFont="1" applyFill="1" applyAlignment="1">
      <alignment horizontal="center" vertical="center"/>
    </xf>
    <xf numFmtId="0" fontId="9" fillId="11" borderId="0" xfId="1" applyFont="1" applyFill="1">
      <alignment vertical="center"/>
    </xf>
    <xf numFmtId="41" fontId="2" fillId="11" borderId="0" xfId="2" applyFill="1" applyAlignment="1">
      <alignment horizontal="center" vertical="center"/>
    </xf>
    <xf numFmtId="41" fontId="2" fillId="0" borderId="0" xfId="1" applyNumberFormat="1" applyAlignment="1">
      <alignment horizontal="right" vertical="center"/>
    </xf>
    <xf numFmtId="0" fontId="2" fillId="17" borderId="0" xfId="1" applyFill="1">
      <alignment vertical="center"/>
    </xf>
    <xf numFmtId="41" fontId="2" fillId="11" borderId="0" xfId="2" applyFill="1" applyAlignment="1">
      <alignment horizontal="left" vertical="center"/>
    </xf>
    <xf numFmtId="41" fontId="2" fillId="17" borderId="0" xfId="1" applyNumberFormat="1" applyFill="1">
      <alignment vertical="center"/>
    </xf>
    <xf numFmtId="180" fontId="2" fillId="17" borderId="0" xfId="1" applyNumberFormat="1" applyFill="1">
      <alignment vertical="center"/>
    </xf>
    <xf numFmtId="41" fontId="2" fillId="18" borderId="0" xfId="2" applyFill="1">
      <alignment vertical="center"/>
    </xf>
    <xf numFmtId="180" fontId="2" fillId="18" borderId="0" xfId="1" applyNumberFormat="1" applyFill="1">
      <alignment vertical="center"/>
    </xf>
  </cellXfs>
  <cellStyles count="5">
    <cellStyle name="쉼표 [0] 3" xfId="2" xr:uid="{33408E80-41EA-43F8-A777-5462589EE99C}"/>
    <cellStyle name="표준" xfId="0" builtinId="0"/>
    <cellStyle name="표준 2" xfId="4" xr:uid="{28A56319-8F84-4A0A-A5E6-9E15BCF41BF2}"/>
    <cellStyle name="표준 3" xfId="1" xr:uid="{32A393E9-ABF0-4DA6-A428-C382F891C72B}"/>
    <cellStyle name="표준 4" xfId="3" xr:uid="{9C19640F-0E20-4983-898C-D8FB9C733B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wlwll.xlsx" TargetMode="External"/><Relationship Id="rId1" Type="http://schemas.openxmlformats.org/officeDocument/2006/relationships/externalLinkPath" Target="file:///G:\wlw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연금설명"/>
      <sheetName val="지급가상계산26"/>
      <sheetName val="지급자연월수합"/>
      <sheetName val="지급연차계산"/>
      <sheetName val="지급가상계산"/>
      <sheetName val="업무메모"/>
      <sheetName val="2026 선납자"/>
      <sheetName val="연금안내(선납계산)"/>
      <sheetName val="지로인쇄(6개월마다)"/>
      <sheetName val="직원명단"/>
      <sheetName val="산하기금대여관리"/>
      <sheetName val="아카데미대여상환내역26.4기준"/>
      <sheetName val="기금관리"/>
      <sheetName val="대여월간안내"/>
      <sheetName val="특약가입자"/>
      <sheetName val="세무급여"/>
      <sheetName val="퇴직공제일시계산"/>
      <sheetName val="프로그램수정보완"/>
      <sheetName val="2020년 헌의"/>
      <sheetName val="국민연금비교"/>
      <sheetName val="편집수식참고"/>
      <sheetName val="유지재단 대여이자계산(2019이전까지)"/>
      <sheetName val="연금재단직인대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5544-9C99-46DC-AA50-2F74DCD34981}">
  <sheetPr>
    <pageSetUpPr fitToPage="1"/>
  </sheetPr>
  <dimension ref="A1:P50"/>
  <sheetViews>
    <sheetView tabSelected="1" topLeftCell="A25" zoomScale="85" zoomScaleNormal="85" zoomScaleSheetLayoutView="75" workbookViewId="0">
      <selection activeCell="O46" sqref="O46"/>
    </sheetView>
  </sheetViews>
  <sheetFormatPr defaultColWidth="9" defaultRowHeight="16.5" x14ac:dyDescent="0.3"/>
  <cols>
    <col min="1" max="1" width="20.625" style="1" customWidth="1"/>
    <col min="2" max="2" width="12.375" style="1" customWidth="1"/>
    <col min="3" max="3" width="10.5" style="1" customWidth="1"/>
    <col min="4" max="4" width="10.125" style="1" customWidth="1"/>
    <col min="5" max="5" width="12.75" style="1" customWidth="1"/>
    <col min="6" max="6" width="1.75" style="1" customWidth="1"/>
    <col min="7" max="7" width="9.375" style="6" customWidth="1"/>
    <col min="8" max="8" width="2" style="7" customWidth="1"/>
    <col min="9" max="9" width="1.625" style="1" customWidth="1"/>
    <col min="10" max="10" width="8.625" style="1" customWidth="1"/>
    <col min="11" max="11" width="9.25" style="1" customWidth="1"/>
    <col min="12" max="12" width="10.125" style="1" customWidth="1"/>
    <col min="13" max="13" width="10.875" style="1" customWidth="1"/>
    <col min="14" max="15" width="12.75" style="1" customWidth="1"/>
    <col min="16" max="16" width="9" style="1" customWidth="1"/>
    <col min="17" max="17" width="3.5" style="1" customWidth="1"/>
    <col min="18" max="18" width="3.75" style="1" customWidth="1"/>
    <col min="19" max="16384" width="9" style="1"/>
  </cols>
  <sheetData>
    <row r="1" spans="1:16" x14ac:dyDescent="0.3">
      <c r="A1" s="1" t="s">
        <v>0</v>
      </c>
      <c r="B1" s="2">
        <v>1450000</v>
      </c>
      <c r="C1" s="3">
        <v>0.6</v>
      </c>
      <c r="D1" s="4" t="s">
        <v>1</v>
      </c>
      <c r="E1" s="5">
        <f>ROUNDDOWN(($B1*C1),-3)</f>
        <v>870000</v>
      </c>
      <c r="G1" s="6">
        <f>E1/2</f>
        <v>435000</v>
      </c>
      <c r="N1" s="8" t="s">
        <v>2</v>
      </c>
      <c r="O1" s="9"/>
    </row>
    <row r="2" spans="1:16" x14ac:dyDescent="0.3">
      <c r="C2" s="3">
        <v>0.45</v>
      </c>
      <c r="D2" s="1" t="s">
        <v>3</v>
      </c>
      <c r="E2" s="5">
        <f>ROUNDDOWN(($B1*C2),-3)</f>
        <v>652000</v>
      </c>
      <c r="G2" s="6">
        <f>E2/2</f>
        <v>326000</v>
      </c>
      <c r="I2" s="6"/>
      <c r="J2" s="10" t="s">
        <v>4</v>
      </c>
      <c r="K2" s="11" t="s">
        <v>5</v>
      </c>
      <c r="L2" s="12" t="s">
        <v>6</v>
      </c>
      <c r="M2" s="13" t="s">
        <v>7</v>
      </c>
      <c r="N2" s="14" t="s">
        <v>8</v>
      </c>
      <c r="O2" s="13" t="s">
        <v>9</v>
      </c>
    </row>
    <row r="3" spans="1:16" x14ac:dyDescent="0.3">
      <c r="A3" s="15" t="s">
        <v>10</v>
      </c>
      <c r="B3" s="16">
        <f>$B$1*(B6+D6+D7)*B4+$B$1*(C6+E6+E7)*C4</f>
        <v>652500</v>
      </c>
      <c r="C3" s="17" t="s">
        <v>11</v>
      </c>
      <c r="D3" s="18">
        <f>(B4*B6+C4*C6)*100</f>
        <v>44.999999999999993</v>
      </c>
      <c r="E3" s="17"/>
      <c r="I3" s="3"/>
      <c r="J3" s="19">
        <v>60</v>
      </c>
      <c r="K3" s="11" t="s">
        <v>12</v>
      </c>
      <c r="L3" s="20">
        <v>0.85</v>
      </c>
      <c r="M3" s="21">
        <f t="shared" ref="M3:M7" si="0">ROUNDDOWN(($B$1*J$3%)*L3,-3)</f>
        <v>739000</v>
      </c>
      <c r="N3" s="21">
        <f>ROUNDDOWN(($B$1*J$3%)*75%,-3)</f>
        <v>652000</v>
      </c>
      <c r="O3" s="21">
        <f>ROUNDDOWN(($B$1*J$3%)*70%,-3)</f>
        <v>609000</v>
      </c>
    </row>
    <row r="4" spans="1:16" x14ac:dyDescent="0.3">
      <c r="A4" s="4" t="s">
        <v>13</v>
      </c>
      <c r="B4" s="22">
        <v>0.03</v>
      </c>
      <c r="C4" s="23">
        <v>2.5000000000000001E-3</v>
      </c>
      <c r="D4" s="22">
        <v>0.03</v>
      </c>
      <c r="E4" s="23">
        <v>2.5000000000000001E-3</v>
      </c>
      <c r="I4" s="3"/>
      <c r="J4" s="24"/>
      <c r="K4" s="25" t="s">
        <v>14</v>
      </c>
      <c r="L4" s="20">
        <v>0.88</v>
      </c>
      <c r="M4" s="21">
        <f t="shared" si="0"/>
        <v>765000</v>
      </c>
      <c r="N4" s="21">
        <f>ROUNDDOWN(($B$1*J$3%)*78%,-3)</f>
        <v>678000</v>
      </c>
      <c r="O4" s="21">
        <f>ROUNDDOWN(($B$1*J$3%)*73%,-3)</f>
        <v>635000</v>
      </c>
    </row>
    <row r="5" spans="1:16" x14ac:dyDescent="0.3">
      <c r="A5" s="4"/>
      <c r="B5" s="17" t="s">
        <v>15</v>
      </c>
      <c r="C5" s="17" t="s">
        <v>16</v>
      </c>
      <c r="D5" s="17" t="s">
        <v>17</v>
      </c>
      <c r="E5" s="17" t="s">
        <v>18</v>
      </c>
      <c r="I5" s="26"/>
      <c r="J5" s="13"/>
      <c r="K5" s="27" t="s">
        <v>19</v>
      </c>
      <c r="L5" s="20">
        <v>0.91</v>
      </c>
      <c r="M5" s="21">
        <f>ROUNDDOWN(($B$1*J$3%)*L5,-3)</f>
        <v>791000</v>
      </c>
      <c r="N5" s="21">
        <f>ROUNDDOWN(($B$1*J$3%)*81%,-3)</f>
        <v>704000</v>
      </c>
      <c r="O5" s="21">
        <f>ROUNDDOWN(($B$1*J$3%)*76%,-3)</f>
        <v>661000</v>
      </c>
    </row>
    <row r="6" spans="1:16" x14ac:dyDescent="0.3">
      <c r="A6" s="28" t="s">
        <v>20</v>
      </c>
      <c r="B6" s="29">
        <v>15</v>
      </c>
      <c r="C6" s="30"/>
      <c r="D6" s="30"/>
      <c r="E6" s="31"/>
      <c r="I6" s="26"/>
      <c r="J6" s="13"/>
      <c r="K6" s="27" t="s">
        <v>21</v>
      </c>
      <c r="L6" s="20">
        <v>0.94</v>
      </c>
      <c r="M6" s="21">
        <f t="shared" si="0"/>
        <v>817000</v>
      </c>
      <c r="N6" s="21">
        <f>ROUNDDOWN(($B$1*J$3%)*84%,-3)</f>
        <v>730000</v>
      </c>
      <c r="O6" s="21">
        <f>ROUNDDOWN(($B$1*J$3%)*79%,-3)</f>
        <v>687000</v>
      </c>
    </row>
    <row r="7" spans="1:16" x14ac:dyDescent="0.3">
      <c r="A7" s="32"/>
      <c r="D7" s="17"/>
      <c r="E7" s="17"/>
      <c r="I7" s="3"/>
      <c r="J7" s="13"/>
      <c r="K7" s="27" t="s">
        <v>22</v>
      </c>
      <c r="L7" s="20">
        <v>0.97</v>
      </c>
      <c r="M7" s="21">
        <f t="shared" si="0"/>
        <v>843000</v>
      </c>
      <c r="N7" s="21">
        <f>ROUNDDOWN(($B$1*J$3%)*87%,-3)</f>
        <v>756000</v>
      </c>
      <c r="O7" s="21">
        <f>ROUNDDOWN(($B$1*J$3%)*82%,-3)</f>
        <v>713000</v>
      </c>
    </row>
    <row r="8" spans="1:16" x14ac:dyDescent="0.3">
      <c r="I8" s="26"/>
      <c r="J8" s="13"/>
      <c r="K8" s="27" t="s">
        <v>23</v>
      </c>
      <c r="L8" s="20">
        <v>1</v>
      </c>
      <c r="M8" s="21">
        <f>ROUNDDOWN(($B$1*J$3%)*L8,-3)</f>
        <v>870000</v>
      </c>
      <c r="N8" s="21">
        <f>ROUNDDOWN(($B$1*J$3%)*90%,-3)</f>
        <v>783000</v>
      </c>
      <c r="O8" s="21">
        <f>ROUNDDOWN(($B$1*J$3%)*85%,-3)</f>
        <v>739000</v>
      </c>
    </row>
    <row r="9" spans="1:16" x14ac:dyDescent="0.3">
      <c r="A9" s="33"/>
      <c r="B9" s="33" t="s">
        <v>24</v>
      </c>
      <c r="C9" s="33"/>
      <c r="D9" s="33" t="s">
        <v>25</v>
      </c>
      <c r="E9" s="33"/>
    </row>
    <row r="10" spans="1:16" x14ac:dyDescent="0.3">
      <c r="A10" s="35" t="s">
        <v>10</v>
      </c>
      <c r="B10" s="36">
        <f>($B$1*20*B11)+$B$1*(B14+B15)*B12</f>
        <v>957000</v>
      </c>
      <c r="C10" s="37" t="s">
        <v>26</v>
      </c>
      <c r="D10" s="38" t="s">
        <v>27</v>
      </c>
      <c r="E10" s="39"/>
      <c r="H10" s="40"/>
      <c r="J10" s="33" t="s">
        <v>28</v>
      </c>
      <c r="P10" s="41"/>
    </row>
    <row r="11" spans="1:16" x14ac:dyDescent="0.3">
      <c r="A11" s="39" t="s">
        <v>13</v>
      </c>
      <c r="B11" s="43">
        <v>0.03</v>
      </c>
      <c r="C11" s="44">
        <v>60</v>
      </c>
      <c r="D11" s="45">
        <f>C11+C12</f>
        <v>66</v>
      </c>
      <c r="E11" s="39"/>
      <c r="H11" s="40"/>
      <c r="J11" s="1" t="s">
        <v>29</v>
      </c>
      <c r="M11" s="1" t="s">
        <v>30</v>
      </c>
    </row>
    <row r="12" spans="1:16" x14ac:dyDescent="0.3">
      <c r="A12" s="39" t="s">
        <v>31</v>
      </c>
      <c r="B12" s="46">
        <v>0.02</v>
      </c>
      <c r="C12" s="47">
        <f>B12*SUM(B14:B15)*100</f>
        <v>6</v>
      </c>
      <c r="D12" s="48" t="s">
        <v>32</v>
      </c>
      <c r="E12" s="39"/>
      <c r="G12" s="49">
        <f>(B14+B15+B16)*29000</f>
        <v>87000</v>
      </c>
      <c r="J12" s="50" t="s">
        <v>33</v>
      </c>
      <c r="K12" s="51">
        <v>0.03</v>
      </c>
      <c r="L12" s="52" t="s">
        <v>34</v>
      </c>
      <c r="M12" s="53" t="s">
        <v>35</v>
      </c>
      <c r="N12" s="54">
        <v>0.06</v>
      </c>
      <c r="O12" s="55" t="s">
        <v>34</v>
      </c>
    </row>
    <row r="13" spans="1:16" x14ac:dyDescent="0.3">
      <c r="A13" s="39"/>
      <c r="B13" s="35" t="s">
        <v>36</v>
      </c>
      <c r="C13" s="39" t="s">
        <v>37</v>
      </c>
      <c r="D13" s="39"/>
      <c r="E13" s="39"/>
      <c r="J13" s="52">
        <v>1</v>
      </c>
      <c r="K13" s="56">
        <f t="shared" ref="K13:K22" si="1">$B$1*J13*$K$12</f>
        <v>43500</v>
      </c>
      <c r="L13" s="57">
        <f t="shared" ref="L13:L22" si="2">J13*$K$12*100</f>
        <v>3</v>
      </c>
      <c r="M13" s="55">
        <v>1</v>
      </c>
      <c r="N13" s="58">
        <f>$B$1*M13*$N$12</f>
        <v>87000</v>
      </c>
      <c r="O13" s="59">
        <f>M13*$N$12*100</f>
        <v>6</v>
      </c>
    </row>
    <row r="14" spans="1:16" x14ac:dyDescent="0.3">
      <c r="A14" s="60" t="s">
        <v>38</v>
      </c>
      <c r="B14" s="61">
        <v>3</v>
      </c>
      <c r="C14" s="39">
        <v>1</v>
      </c>
      <c r="D14" s="62">
        <v>0.17</v>
      </c>
      <c r="E14" s="63">
        <f>($B$1*20*B11)+$B$1*(B14+B15)*B12+($B$1*D14%)</f>
        <v>959465</v>
      </c>
      <c r="G14" s="6">
        <f>$B$1*D14%</f>
        <v>2465</v>
      </c>
      <c r="J14" s="52">
        <v>2</v>
      </c>
      <c r="K14" s="56">
        <f t="shared" si="1"/>
        <v>87000</v>
      </c>
      <c r="L14" s="57">
        <f t="shared" si="2"/>
        <v>6</v>
      </c>
      <c r="M14" s="55">
        <v>2</v>
      </c>
      <c r="N14" s="58">
        <f t="shared" ref="N14:N21" si="3">$B$1*M14*$N$12</f>
        <v>174000</v>
      </c>
      <c r="O14" s="59">
        <f t="shared" ref="O14:O22" si="4">M14*$N$12*100</f>
        <v>12</v>
      </c>
    </row>
    <row r="15" spans="1:16" x14ac:dyDescent="0.3">
      <c r="A15" s="64"/>
      <c r="B15" s="65"/>
      <c r="C15" s="39">
        <v>2</v>
      </c>
      <c r="D15" s="62">
        <v>0.33</v>
      </c>
      <c r="E15" s="63">
        <f>($B$1*20*B11)+$B$1*(B14+B15)*B12+($B$1*D15%)</f>
        <v>961785</v>
      </c>
      <c r="G15" s="6">
        <f t="shared" ref="G15:G25" si="5">$B$1*D15%</f>
        <v>4785</v>
      </c>
      <c r="J15" s="52">
        <v>3</v>
      </c>
      <c r="K15" s="56">
        <f t="shared" si="1"/>
        <v>130500</v>
      </c>
      <c r="L15" s="57">
        <f t="shared" si="2"/>
        <v>9</v>
      </c>
      <c r="M15" s="55">
        <v>3</v>
      </c>
      <c r="N15" s="58">
        <f t="shared" si="3"/>
        <v>261000</v>
      </c>
      <c r="O15" s="59">
        <f t="shared" si="4"/>
        <v>18</v>
      </c>
    </row>
    <row r="16" spans="1:16" x14ac:dyDescent="0.3">
      <c r="B16" s="66"/>
      <c r="C16" s="39">
        <v>3</v>
      </c>
      <c r="D16" s="62">
        <v>0.5</v>
      </c>
      <c r="E16" s="63">
        <f>($B$1*20*B11)+$B$1*(B14+B15)*B12+($B$1*D16%)</f>
        <v>964250</v>
      </c>
      <c r="G16" s="6">
        <f t="shared" si="5"/>
        <v>7250</v>
      </c>
      <c r="J16" s="52">
        <v>4</v>
      </c>
      <c r="K16" s="56">
        <f t="shared" si="1"/>
        <v>174000</v>
      </c>
      <c r="L16" s="57">
        <f t="shared" si="2"/>
        <v>12</v>
      </c>
      <c r="M16" s="55">
        <v>4</v>
      </c>
      <c r="N16" s="58">
        <f t="shared" si="3"/>
        <v>348000</v>
      </c>
      <c r="O16" s="59">
        <f t="shared" si="4"/>
        <v>24</v>
      </c>
    </row>
    <row r="17" spans="1:15" x14ac:dyDescent="0.3">
      <c r="A17" s="67" t="s">
        <v>39</v>
      </c>
      <c r="B17" s="34">
        <f>SUM(B14:B16)+20</f>
        <v>23</v>
      </c>
      <c r="C17" s="39">
        <v>4</v>
      </c>
      <c r="D17" s="62">
        <v>0.67</v>
      </c>
      <c r="E17" s="63">
        <f>($B$1*20*B11)+$B$1*(B14+B15)*B12+($B$1*D17%)</f>
        <v>966715</v>
      </c>
      <c r="G17" s="6">
        <f t="shared" si="5"/>
        <v>9715</v>
      </c>
      <c r="J17" s="52">
        <v>5</v>
      </c>
      <c r="K17" s="56">
        <f t="shared" si="1"/>
        <v>217500</v>
      </c>
      <c r="L17" s="57">
        <f t="shared" si="2"/>
        <v>15</v>
      </c>
      <c r="M17" s="55">
        <v>5</v>
      </c>
      <c r="N17" s="58">
        <f t="shared" si="3"/>
        <v>435000</v>
      </c>
      <c r="O17" s="59">
        <f t="shared" si="4"/>
        <v>30</v>
      </c>
    </row>
    <row r="18" spans="1:15" x14ac:dyDescent="0.3">
      <c r="C18" s="39">
        <v>5</v>
      </c>
      <c r="D18" s="62">
        <v>0.83</v>
      </c>
      <c r="E18" s="63">
        <f>($B$1*20*B11)+$B$1*(B14+B15)*B12+($B$1*D18%)</f>
        <v>969035</v>
      </c>
      <c r="G18" s="6">
        <f t="shared" si="5"/>
        <v>12035</v>
      </c>
      <c r="J18" s="52">
        <v>6</v>
      </c>
      <c r="K18" s="56">
        <f t="shared" si="1"/>
        <v>261000</v>
      </c>
      <c r="L18" s="57">
        <f t="shared" si="2"/>
        <v>18</v>
      </c>
      <c r="M18" s="55">
        <v>6</v>
      </c>
      <c r="N18" s="58">
        <f t="shared" si="3"/>
        <v>522000</v>
      </c>
      <c r="O18" s="59">
        <f t="shared" si="4"/>
        <v>36</v>
      </c>
    </row>
    <row r="19" spans="1:15" x14ac:dyDescent="0.3">
      <c r="C19" s="39">
        <v>6</v>
      </c>
      <c r="D19" s="62">
        <v>1</v>
      </c>
      <c r="E19" s="63">
        <f>($B$1*20*B11)+$B$1*(B14+B15)*B12+($B$1*D19%)</f>
        <v>971500</v>
      </c>
      <c r="G19" s="6">
        <f t="shared" si="5"/>
        <v>14500</v>
      </c>
      <c r="J19" s="68">
        <v>7</v>
      </c>
      <c r="K19" s="69">
        <f t="shared" si="1"/>
        <v>304500</v>
      </c>
      <c r="L19" s="70">
        <f t="shared" si="2"/>
        <v>21</v>
      </c>
      <c r="M19" s="71">
        <v>7</v>
      </c>
      <c r="N19" s="72">
        <f t="shared" si="3"/>
        <v>609000</v>
      </c>
      <c r="O19" s="73">
        <f t="shared" si="4"/>
        <v>42</v>
      </c>
    </row>
    <row r="20" spans="1:15" x14ac:dyDescent="0.3">
      <c r="C20" s="39">
        <v>7</v>
      </c>
      <c r="D20" s="62">
        <v>1.17</v>
      </c>
      <c r="E20" s="63">
        <f>($B$1*20*B11)+$B$1*(B14+B15)*B12+($B$1*D20%)</f>
        <v>973965</v>
      </c>
      <c r="G20" s="6">
        <f>$B$1*D20%</f>
        <v>16964.999999999996</v>
      </c>
      <c r="J20" s="68">
        <v>8</v>
      </c>
      <c r="K20" s="69">
        <f t="shared" si="1"/>
        <v>348000</v>
      </c>
      <c r="L20" s="70">
        <f t="shared" si="2"/>
        <v>24</v>
      </c>
      <c r="M20" s="71">
        <v>8</v>
      </c>
      <c r="N20" s="72">
        <f t="shared" si="3"/>
        <v>696000</v>
      </c>
      <c r="O20" s="73">
        <f t="shared" si="4"/>
        <v>48</v>
      </c>
    </row>
    <row r="21" spans="1:15" x14ac:dyDescent="0.3">
      <c r="C21" s="39">
        <v>8</v>
      </c>
      <c r="D21" s="62">
        <v>1.33</v>
      </c>
      <c r="E21" s="63">
        <f>($B$1*20*B11)+$B$1*(B14+B15)*B12+($B$1*D21%)</f>
        <v>976285</v>
      </c>
      <c r="G21" s="6">
        <f t="shared" si="5"/>
        <v>19285</v>
      </c>
      <c r="J21" s="68">
        <v>9</v>
      </c>
      <c r="K21" s="69">
        <f t="shared" si="1"/>
        <v>391500</v>
      </c>
      <c r="L21" s="70">
        <f t="shared" si="2"/>
        <v>27</v>
      </c>
      <c r="M21" s="71">
        <v>9</v>
      </c>
      <c r="N21" s="72">
        <f t="shared" si="3"/>
        <v>783000</v>
      </c>
      <c r="O21" s="73">
        <f t="shared" si="4"/>
        <v>54</v>
      </c>
    </row>
    <row r="22" spans="1:15" x14ac:dyDescent="0.3">
      <c r="C22" s="39">
        <v>9</v>
      </c>
      <c r="D22" s="62">
        <v>1.5</v>
      </c>
      <c r="E22" s="63">
        <f>($B$1*20*B11)+$B$1*(B14+B15)*B12+($B$1*D22%)</f>
        <v>978750</v>
      </c>
      <c r="G22" s="6">
        <f t="shared" si="5"/>
        <v>21750</v>
      </c>
      <c r="J22" s="68">
        <v>10</v>
      </c>
      <c r="K22" s="69">
        <f t="shared" si="1"/>
        <v>435000</v>
      </c>
      <c r="L22" s="70">
        <f t="shared" si="2"/>
        <v>30</v>
      </c>
      <c r="M22" s="71">
        <v>10</v>
      </c>
      <c r="N22" s="72">
        <f>$B$1*M22*$N$12</f>
        <v>870000</v>
      </c>
      <c r="O22" s="73">
        <f t="shared" si="4"/>
        <v>60</v>
      </c>
    </row>
    <row r="23" spans="1:15" x14ac:dyDescent="0.3">
      <c r="C23" s="39">
        <v>10</v>
      </c>
      <c r="D23" s="62">
        <v>1.67</v>
      </c>
      <c r="E23" s="63">
        <f>($B$1*20*B11)+$B$1*(B14+B15)*B12+($B$1*D23%)</f>
        <v>981215</v>
      </c>
      <c r="G23" s="6">
        <f>$B$1*D23%</f>
        <v>24215</v>
      </c>
      <c r="J23" s="52"/>
      <c r="K23" s="56"/>
      <c r="L23" s="57"/>
      <c r="M23" s="55"/>
      <c r="N23" s="58"/>
      <c r="O23" s="59"/>
    </row>
    <row r="24" spans="1:15" x14ac:dyDescent="0.3">
      <c r="C24" s="39">
        <v>11</v>
      </c>
      <c r="D24" s="62">
        <v>1.83</v>
      </c>
      <c r="E24" s="63">
        <f>($B$1*20*B11)+$B$1*(B14+B15)*B12+($B$1*D24%)</f>
        <v>983535</v>
      </c>
      <c r="G24" s="6">
        <f t="shared" si="5"/>
        <v>26535</v>
      </c>
      <c r="K24" s="42" t="s">
        <v>40</v>
      </c>
      <c r="L24" s="74"/>
      <c r="N24" s="42"/>
      <c r="O24" s="74"/>
    </row>
    <row r="25" spans="1:15" x14ac:dyDescent="0.3">
      <c r="C25" s="39">
        <v>12</v>
      </c>
      <c r="D25" s="62">
        <v>2</v>
      </c>
      <c r="E25" s="63">
        <f>($B$1*20*B11)+$B$1*(B14+B15)*B12+($B$1*D25%)</f>
        <v>986000</v>
      </c>
      <c r="G25" s="6">
        <f t="shared" si="5"/>
        <v>29000</v>
      </c>
      <c r="J25" s="75" t="s">
        <v>41</v>
      </c>
      <c r="K25" s="76" t="s">
        <v>42</v>
      </c>
      <c r="L25" s="76" t="s">
        <v>43</v>
      </c>
      <c r="M25" s="76">
        <v>131.33000000000001</v>
      </c>
      <c r="N25" s="6">
        <v>1904000</v>
      </c>
      <c r="O25" s="77">
        <v>2026.04</v>
      </c>
    </row>
    <row r="26" spans="1:15" x14ac:dyDescent="0.3">
      <c r="A26" s="1" t="s">
        <v>44</v>
      </c>
      <c r="B26" s="34">
        <v>2026</v>
      </c>
      <c r="C26" s="1" t="s">
        <v>45</v>
      </c>
      <c r="D26" s="78" t="s">
        <v>46</v>
      </c>
      <c r="J26" s="76"/>
      <c r="K26" s="76" t="s">
        <v>47</v>
      </c>
      <c r="L26" s="76"/>
      <c r="M26" s="76"/>
      <c r="N26" s="6"/>
    </row>
    <row r="27" spans="1:15" x14ac:dyDescent="0.3">
      <c r="A27" s="1" t="s">
        <v>48</v>
      </c>
      <c r="B27" s="1">
        <v>1967</v>
      </c>
      <c r="C27" s="1">
        <f>B26-B27</f>
        <v>59</v>
      </c>
      <c r="D27" s="78">
        <f>65-C27</f>
        <v>6</v>
      </c>
      <c r="E27" s="78" t="s">
        <v>49</v>
      </c>
      <c r="J27" s="76"/>
      <c r="K27" s="76"/>
      <c r="L27" s="76"/>
      <c r="M27" s="76"/>
      <c r="N27" s="6"/>
    </row>
    <row r="28" spans="1:15" x14ac:dyDescent="0.3">
      <c r="C28" s="1" t="s">
        <v>50</v>
      </c>
      <c r="D28" s="79" t="s">
        <v>51</v>
      </c>
      <c r="J28" s="75" t="s">
        <v>41</v>
      </c>
      <c r="K28" s="80" t="s">
        <v>52</v>
      </c>
      <c r="L28" s="80" t="s">
        <v>53</v>
      </c>
      <c r="M28" s="81">
        <v>125</v>
      </c>
      <c r="N28" s="82">
        <v>1812000</v>
      </c>
      <c r="O28" s="17">
        <v>2024.04</v>
      </c>
    </row>
    <row r="29" spans="1:15" x14ac:dyDescent="0.3">
      <c r="C29" s="67" t="s">
        <v>54</v>
      </c>
      <c r="D29" s="79">
        <f>70-C27</f>
        <v>11</v>
      </c>
      <c r="E29" s="79" t="s">
        <v>49</v>
      </c>
      <c r="J29" s="83" t="s">
        <v>55</v>
      </c>
      <c r="K29" s="84" t="s">
        <v>56</v>
      </c>
      <c r="L29" s="84" t="s">
        <v>57</v>
      </c>
      <c r="M29" s="81">
        <v>120</v>
      </c>
      <c r="N29" s="82">
        <v>1740000</v>
      </c>
      <c r="O29" s="17" t="s">
        <v>58</v>
      </c>
    </row>
    <row r="30" spans="1:15" x14ac:dyDescent="0.3">
      <c r="A30" s="85" t="s">
        <v>59</v>
      </c>
      <c r="B30" s="86" t="s">
        <v>0</v>
      </c>
      <c r="C30" s="87" t="s">
        <v>60</v>
      </c>
      <c r="D30" s="88" t="s">
        <v>61</v>
      </c>
      <c r="E30" s="1" t="s">
        <v>62</v>
      </c>
      <c r="J30" s="84" t="s">
        <v>63</v>
      </c>
      <c r="K30" s="84" t="s">
        <v>64</v>
      </c>
      <c r="L30" s="84" t="s">
        <v>65</v>
      </c>
      <c r="M30" s="81">
        <v>116.5</v>
      </c>
      <c r="N30" s="89">
        <v>1587000</v>
      </c>
      <c r="O30" s="90">
        <v>2022.04</v>
      </c>
    </row>
    <row r="31" spans="1:15" x14ac:dyDescent="0.3">
      <c r="A31" s="85"/>
      <c r="B31" s="49">
        <v>1450000</v>
      </c>
      <c r="C31" s="91">
        <v>63.33</v>
      </c>
      <c r="D31" s="86">
        <v>6</v>
      </c>
      <c r="E31" s="42">
        <f>ROUNDDOWN(B31*C31%+(B31*D31%),-3)</f>
        <v>1005000</v>
      </c>
      <c r="J31" s="81" t="s">
        <v>66</v>
      </c>
      <c r="K31" s="81" t="s">
        <v>67</v>
      </c>
      <c r="L31" s="81" t="s">
        <v>68</v>
      </c>
      <c r="M31" s="81">
        <v>116.33</v>
      </c>
      <c r="N31" s="92">
        <v>1628000</v>
      </c>
    </row>
    <row r="32" spans="1:15" x14ac:dyDescent="0.3">
      <c r="C32" s="93" t="s">
        <v>69</v>
      </c>
      <c r="D32" s="3">
        <v>0.85</v>
      </c>
      <c r="E32" s="42">
        <f>ROUNDDOWN($E$31*D32,-3)</f>
        <v>854000</v>
      </c>
      <c r="F32" s="42"/>
      <c r="J32" s="76"/>
      <c r="K32" s="76"/>
      <c r="L32" s="76"/>
      <c r="M32" s="76"/>
    </row>
    <row r="33" spans="2:13" x14ac:dyDescent="0.3">
      <c r="C33" s="93" t="s">
        <v>70</v>
      </c>
      <c r="D33" s="3">
        <v>0.88</v>
      </c>
      <c r="E33" s="42">
        <f>ROUNDDOWN($E$31*D33,-3)</f>
        <v>884000</v>
      </c>
      <c r="J33" s="76"/>
      <c r="K33" s="76"/>
      <c r="L33" s="76"/>
      <c r="M33" s="76"/>
    </row>
    <row r="34" spans="2:13" x14ac:dyDescent="0.3">
      <c r="C34" s="93" t="s">
        <v>71</v>
      </c>
      <c r="D34" s="3">
        <v>0.91</v>
      </c>
      <c r="E34" s="42">
        <f>ROUNDDOWN($E$31*D34,-3)</f>
        <v>914000</v>
      </c>
      <c r="J34" s="86" t="s">
        <v>72</v>
      </c>
      <c r="K34" s="86"/>
      <c r="L34" s="86"/>
      <c r="M34" s="94" t="s">
        <v>73</v>
      </c>
    </row>
    <row r="35" spans="2:13" x14ac:dyDescent="0.3">
      <c r="C35" s="93" t="s">
        <v>74</v>
      </c>
      <c r="D35" s="3">
        <v>0.94</v>
      </c>
      <c r="E35" s="42">
        <f>ROUNDDOWN($E$31*D35,-3)</f>
        <v>944000</v>
      </c>
      <c r="J35" s="86" t="s">
        <v>75</v>
      </c>
      <c r="K35" s="95">
        <v>52596460</v>
      </c>
      <c r="L35" s="95"/>
      <c r="M35" s="94"/>
    </row>
    <row r="36" spans="2:13" x14ac:dyDescent="0.3">
      <c r="C36" s="93" t="s">
        <v>76</v>
      </c>
      <c r="D36" s="3">
        <v>0.97</v>
      </c>
      <c r="E36" s="42">
        <f>ROUNDDOWN($E$31*D36,-3)</f>
        <v>974000</v>
      </c>
      <c r="J36" s="86" t="s">
        <v>77</v>
      </c>
      <c r="K36" s="96" t="s">
        <v>78</v>
      </c>
      <c r="L36" s="97" t="s">
        <v>79</v>
      </c>
      <c r="M36" s="86"/>
    </row>
    <row r="37" spans="2:13" x14ac:dyDescent="0.3">
      <c r="J37" s="86" t="s">
        <v>80</v>
      </c>
      <c r="K37" s="98">
        <v>103886000</v>
      </c>
      <c r="L37" s="98"/>
      <c r="M37" s="86"/>
    </row>
    <row r="38" spans="2:13" x14ac:dyDescent="0.3">
      <c r="C38" s="99" t="s">
        <v>81</v>
      </c>
      <c r="D38" s="100" t="s">
        <v>82</v>
      </c>
      <c r="J38" s="85" t="s">
        <v>83</v>
      </c>
      <c r="K38" s="85"/>
      <c r="L38" s="101">
        <f>840000*12*11</f>
        <v>110880000</v>
      </c>
      <c r="M38" s="101"/>
    </row>
    <row r="39" spans="2:13" x14ac:dyDescent="0.3">
      <c r="B39" s="99" t="s">
        <v>84</v>
      </c>
      <c r="D39" s="102" t="s">
        <v>85</v>
      </c>
      <c r="E39" s="103">
        <f>B40*36%</f>
        <v>654480</v>
      </c>
    </row>
    <row r="40" spans="2:13" x14ac:dyDescent="0.3">
      <c r="B40" s="104">
        <v>1818000</v>
      </c>
      <c r="D40" s="102" t="s">
        <v>86</v>
      </c>
      <c r="E40" s="103">
        <f>B40*64%</f>
        <v>1163520</v>
      </c>
      <c r="J40" s="86" t="s">
        <v>87</v>
      </c>
      <c r="K40" s="86"/>
      <c r="L40" s="86"/>
      <c r="M40" s="86" t="s">
        <v>88</v>
      </c>
    </row>
    <row r="41" spans="2:13" x14ac:dyDescent="0.3">
      <c r="B41" s="74"/>
      <c r="E41" s="105">
        <f>SUM(E39:E40)</f>
        <v>1818000</v>
      </c>
      <c r="J41" s="86" t="s">
        <v>77</v>
      </c>
      <c r="K41" s="96" t="s">
        <v>89</v>
      </c>
      <c r="L41" s="97" t="s">
        <v>90</v>
      </c>
      <c r="M41" s="86"/>
    </row>
    <row r="42" spans="2:13" x14ac:dyDescent="0.3">
      <c r="B42" s="42"/>
      <c r="E42" s="6">
        <f>SUM(E43:E44)</f>
        <v>1818000</v>
      </c>
      <c r="J42" s="86" t="s">
        <v>75</v>
      </c>
      <c r="K42" s="95">
        <v>56310200</v>
      </c>
      <c r="L42" s="95"/>
      <c r="M42" s="86"/>
    </row>
    <row r="43" spans="2:13" x14ac:dyDescent="0.3">
      <c r="E43" s="6">
        <v>654500</v>
      </c>
      <c r="J43" s="86" t="s">
        <v>80</v>
      </c>
      <c r="K43" s="101">
        <v>110013000</v>
      </c>
      <c r="L43" s="101"/>
      <c r="M43" s="86"/>
    </row>
    <row r="44" spans="2:13" x14ac:dyDescent="0.3">
      <c r="E44" s="6">
        <v>1163500</v>
      </c>
      <c r="J44" s="85" t="s">
        <v>91</v>
      </c>
      <c r="K44" s="85"/>
      <c r="L44" s="101">
        <f>840000*12*10</f>
        <v>100800000</v>
      </c>
      <c r="M44" s="101"/>
    </row>
    <row r="46" spans="2:13" x14ac:dyDescent="0.3">
      <c r="J46" s="86" t="s">
        <v>92</v>
      </c>
      <c r="K46" s="86"/>
      <c r="L46" s="86"/>
      <c r="M46" s="86" t="s">
        <v>93</v>
      </c>
    </row>
    <row r="47" spans="2:13" x14ac:dyDescent="0.3">
      <c r="J47" s="86" t="s">
        <v>77</v>
      </c>
      <c r="K47" s="96" t="s">
        <v>94</v>
      </c>
      <c r="L47" s="97" t="s">
        <v>90</v>
      </c>
      <c r="M47" s="86"/>
    </row>
    <row r="48" spans="2:13" x14ac:dyDescent="0.3">
      <c r="J48" s="86" t="s">
        <v>75</v>
      </c>
      <c r="K48" s="95">
        <v>62077220</v>
      </c>
      <c r="L48" s="95"/>
      <c r="M48" s="86"/>
    </row>
    <row r="49" spans="10:13" x14ac:dyDescent="0.3">
      <c r="J49" s="86" t="s">
        <v>80</v>
      </c>
      <c r="K49" s="98">
        <v>147072000</v>
      </c>
      <c r="L49" s="98"/>
      <c r="M49" s="86"/>
    </row>
    <row r="50" spans="10:13" x14ac:dyDescent="0.3">
      <c r="J50" s="85" t="s">
        <v>95</v>
      </c>
      <c r="K50" s="85"/>
      <c r="L50" s="101">
        <f>840000*12*15</f>
        <v>151200000</v>
      </c>
      <c r="M50" s="101"/>
    </row>
  </sheetData>
  <mergeCells count="15">
    <mergeCell ref="J50:K50"/>
    <mergeCell ref="L50:M50"/>
    <mergeCell ref="K42:L42"/>
    <mergeCell ref="K43:L43"/>
    <mergeCell ref="J44:K44"/>
    <mergeCell ref="L44:M44"/>
    <mergeCell ref="K48:L48"/>
    <mergeCell ref="K49:L49"/>
    <mergeCell ref="A6:A7"/>
    <mergeCell ref="A14:A15"/>
    <mergeCell ref="A30:A31"/>
    <mergeCell ref="K35:L35"/>
    <mergeCell ref="K37:L37"/>
    <mergeCell ref="J38:K38"/>
    <mergeCell ref="L38:M38"/>
  </mergeCells>
  <phoneticPr fontId="3" type="noConversion"/>
  <pageMargins left="0.69972223043441772" right="0.69972223043441772" top="0.75" bottom="0.75" header="0.30000001192092896" footer="0.30000001192092896"/>
  <pageSetup paperSize="9" scale="3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지급가상계산26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Suyoung</dc:creator>
  <cp:lastModifiedBy>Kim Suyoung</cp:lastModifiedBy>
  <dcterms:created xsi:type="dcterms:W3CDTF">2026-06-02T01:59:16Z</dcterms:created>
  <dcterms:modified xsi:type="dcterms:W3CDTF">2026-06-02T02:04:53Z</dcterms:modified>
</cp:coreProperties>
</file>