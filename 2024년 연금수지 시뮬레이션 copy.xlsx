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Y\Desktop\"/>
    </mc:Choice>
  </mc:AlternateContent>
  <xr:revisionPtr revIDLastSave="0" documentId="13_ncr:1_{4443EC20-9DB6-49DF-AC89-C5F68913036D}" xr6:coauthVersionLast="47" xr6:coauthVersionMax="47" xr10:uidLastSave="{00000000-0000-0000-0000-000000000000}"/>
  <bookViews>
    <workbookView xWindow="7230" yWindow="480" windowWidth="21180" windowHeight="14310" tabRatio="891" xr2:uid="{EB275800-E053-4FE6-91B1-BBF27D5E962C}"/>
  </bookViews>
  <sheets>
    <sheet name="연금수지_68세_조기3%감액(22년개정25년연령반영)" sheetId="8" r:id="rId1"/>
  </sheets>
  <definedNames>
    <definedName name="_xlnm.Print_Area" localSheetId="0">'연금수지_68세_조기3%감액(22년개정25년연령반영)'!$A$1:$L$48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7" i="8" l="1"/>
  <c r="K41" i="8"/>
  <c r="K36" i="8"/>
  <c r="E22" i="8"/>
  <c r="L16" i="8"/>
  <c r="H5" i="8"/>
  <c r="O92" i="8" l="1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Q74" i="8"/>
  <c r="O74" i="8"/>
  <c r="O73" i="8"/>
  <c r="O72" i="8"/>
  <c r="O71" i="8"/>
  <c r="O70" i="8"/>
  <c r="Q86" i="8" s="1"/>
  <c r="O69" i="8"/>
  <c r="Q85" i="8" s="1"/>
  <c r="O68" i="8"/>
  <c r="O67" i="8"/>
  <c r="O66" i="8"/>
  <c r="O65" i="8"/>
  <c r="O64" i="8"/>
  <c r="Q77" i="8" s="1"/>
  <c r="O63" i="8"/>
  <c r="O62" i="8"/>
  <c r="O61" i="8"/>
  <c r="O60" i="8"/>
  <c r="O59" i="8"/>
  <c r="O58" i="8"/>
  <c r="O57" i="8"/>
  <c r="Q72" i="8" s="1"/>
  <c r="O56" i="8"/>
  <c r="O55" i="8"/>
  <c r="O54" i="8"/>
  <c r="Q70" i="8" s="1"/>
  <c r="O53" i="8"/>
  <c r="O52" i="8"/>
  <c r="O51" i="8"/>
  <c r="O50" i="8"/>
  <c r="O49" i="8"/>
  <c r="Q65" i="8" s="1"/>
  <c r="Q48" i="8"/>
  <c r="O48" i="8"/>
  <c r="Q51" i="8" s="1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P33" i="8"/>
  <c r="P34" i="8" s="1"/>
  <c r="P35" i="8" s="1"/>
  <c r="P36" i="8" s="1"/>
  <c r="P37" i="8" s="1"/>
  <c r="P38" i="8" s="1"/>
  <c r="Q32" i="8"/>
  <c r="P32" i="8"/>
  <c r="P31" i="8"/>
  <c r="P30" i="8"/>
  <c r="P29" i="8"/>
  <c r="P28" i="8"/>
  <c r="E13" i="8"/>
  <c r="E14" i="8" s="1"/>
  <c r="E15" i="8" s="1"/>
  <c r="E16" i="8" s="1"/>
  <c r="I12" i="8"/>
  <c r="J12" i="8" s="1"/>
  <c r="I5" i="8"/>
  <c r="G5" i="8"/>
  <c r="H4" i="8"/>
  <c r="I4" i="8" s="1"/>
  <c r="G4" i="8"/>
  <c r="Q71" i="8" l="1"/>
  <c r="Q80" i="8"/>
  <c r="Q73" i="8"/>
  <c r="Q57" i="8"/>
  <c r="Q64" i="8"/>
  <c r="Q69" i="8"/>
  <c r="Q84" i="8"/>
  <c r="Q76" i="8"/>
  <c r="Q92" i="8"/>
  <c r="Q67" i="8"/>
  <c r="Q61" i="8"/>
  <c r="Q68" i="8"/>
  <c r="Q88" i="8"/>
  <c r="Q81" i="8"/>
  <c r="P39" i="8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F13" i="8"/>
  <c r="G13" i="8" s="1"/>
  <c r="E17" i="8"/>
  <c r="E18" i="8" s="1"/>
  <c r="E19" i="8" s="1"/>
  <c r="Q49" i="8"/>
  <c r="Q55" i="8"/>
  <c r="Q89" i="8"/>
  <c r="Q54" i="8"/>
  <c r="H13" i="8"/>
  <c r="Q58" i="8"/>
  <c r="Q66" i="8"/>
  <c r="Q78" i="8"/>
  <c r="Q82" i="8"/>
  <c r="Q90" i="8"/>
  <c r="Q53" i="8"/>
  <c r="Q62" i="8"/>
  <c r="F12" i="8"/>
  <c r="G12" i="8" s="1"/>
  <c r="F15" i="8"/>
  <c r="G15" i="8" s="1"/>
  <c r="Q52" i="8"/>
  <c r="Q59" i="8"/>
  <c r="Q63" i="8"/>
  <c r="Q75" i="8"/>
  <c r="Q79" i="8"/>
  <c r="Q83" i="8"/>
  <c r="Q87" i="8"/>
  <c r="Q91" i="8"/>
  <c r="F14" i="8"/>
  <c r="G14" i="8" s="1"/>
  <c r="Q50" i="8"/>
  <c r="Q56" i="8"/>
  <c r="Q60" i="8"/>
  <c r="K13" i="8" l="1"/>
  <c r="F18" i="8"/>
  <c r="G18" i="8" s="1"/>
  <c r="F17" i="8"/>
  <c r="G17" i="8" s="1"/>
  <c r="I13" i="8"/>
  <c r="J13" i="8" s="1"/>
  <c r="H14" i="8"/>
  <c r="F16" i="8"/>
  <c r="G16" i="8" s="1"/>
  <c r="E20" i="8"/>
  <c r="F19" i="8"/>
  <c r="G19" i="8" s="1"/>
  <c r="L13" i="8" l="1"/>
  <c r="K14" i="8" s="1"/>
  <c r="E21" i="8"/>
  <c r="F20" i="8"/>
  <c r="G20" i="8" s="1"/>
  <c r="H15" i="8"/>
  <c r="I14" i="8"/>
  <c r="J14" i="8" s="1"/>
  <c r="L14" i="8" l="1"/>
  <c r="K15" i="8"/>
  <c r="I15" i="8"/>
  <c r="J15" i="8" s="1"/>
  <c r="H16" i="8"/>
  <c r="F21" i="8"/>
  <c r="G21" i="8" s="1"/>
  <c r="L15" i="8" l="1"/>
  <c r="K16" i="8" s="1"/>
  <c r="E23" i="8"/>
  <c r="F22" i="8"/>
  <c r="G22" i="8" s="1"/>
  <c r="I16" i="8"/>
  <c r="J16" i="8" s="1"/>
  <c r="H17" i="8"/>
  <c r="K17" i="8" l="1"/>
  <c r="L17" i="8" s="1"/>
  <c r="H18" i="8"/>
  <c r="I17" i="8"/>
  <c r="J17" i="8" s="1"/>
  <c r="E24" i="8"/>
  <c r="F23" i="8"/>
  <c r="G23" i="8" s="1"/>
  <c r="K18" i="8" l="1"/>
  <c r="E25" i="8"/>
  <c r="F24" i="8"/>
  <c r="G24" i="8" s="1"/>
  <c r="I18" i="8"/>
  <c r="J18" i="8" s="1"/>
  <c r="H19" i="8"/>
  <c r="L18" i="8" l="1"/>
  <c r="K19" i="8" s="1"/>
  <c r="I19" i="8"/>
  <c r="J19" i="8" s="1"/>
  <c r="H20" i="8"/>
  <c r="E26" i="8"/>
  <c r="F25" i="8"/>
  <c r="G25" i="8" s="1"/>
  <c r="L19" i="8" l="1"/>
  <c r="K20" i="8" s="1"/>
  <c r="H21" i="8"/>
  <c r="I20" i="8"/>
  <c r="J20" i="8" s="1"/>
  <c r="E27" i="8"/>
  <c r="F26" i="8"/>
  <c r="G26" i="8" s="1"/>
  <c r="L20" i="8" l="1"/>
  <c r="K21" i="8" s="1"/>
  <c r="E28" i="8"/>
  <c r="F27" i="8"/>
  <c r="G27" i="8" s="1"/>
  <c r="I21" i="8"/>
  <c r="J21" i="8" s="1"/>
  <c r="H22" i="8"/>
  <c r="L21" i="8" l="1"/>
  <c r="K22" i="8" s="1"/>
  <c r="I22" i="8"/>
  <c r="J22" i="8" s="1"/>
  <c r="H23" i="8"/>
  <c r="E29" i="8"/>
  <c r="F28" i="8"/>
  <c r="G28" i="8" s="1"/>
  <c r="L22" i="8" l="1"/>
  <c r="K23" i="8" s="1"/>
  <c r="H24" i="8"/>
  <c r="I23" i="8"/>
  <c r="J23" i="8" s="1"/>
  <c r="E30" i="8"/>
  <c r="F29" i="8"/>
  <c r="G29" i="8" s="1"/>
  <c r="L23" i="8" l="1"/>
  <c r="K24" i="8" s="1"/>
  <c r="E31" i="8"/>
  <c r="F30" i="8"/>
  <c r="G30" i="8" s="1"/>
  <c r="I24" i="8"/>
  <c r="J24" i="8" s="1"/>
  <c r="H25" i="8"/>
  <c r="L24" i="8" l="1"/>
  <c r="K25" i="8" s="1"/>
  <c r="E32" i="8"/>
  <c r="F31" i="8"/>
  <c r="G31" i="8" s="1"/>
  <c r="I25" i="8"/>
  <c r="J25" i="8" s="1"/>
  <c r="H26" i="8"/>
  <c r="L25" i="8" l="1"/>
  <c r="K26" i="8"/>
  <c r="H27" i="8"/>
  <c r="I26" i="8"/>
  <c r="J26" i="8" s="1"/>
  <c r="L26" i="8" s="1"/>
  <c r="E33" i="8"/>
  <c r="F32" i="8"/>
  <c r="G32" i="8" s="1"/>
  <c r="K27" i="8" l="1"/>
  <c r="I27" i="8"/>
  <c r="J27" i="8" s="1"/>
  <c r="L27" i="8" s="1"/>
  <c r="H28" i="8"/>
  <c r="E34" i="8"/>
  <c r="F33" i="8"/>
  <c r="G33" i="8" s="1"/>
  <c r="K28" i="8" l="1"/>
  <c r="E35" i="8"/>
  <c r="F34" i="8"/>
  <c r="G34" i="8" s="1"/>
  <c r="H29" i="8"/>
  <c r="I28" i="8"/>
  <c r="J28" i="8" s="1"/>
  <c r="L28" i="8" s="1"/>
  <c r="K29" i="8" l="1"/>
  <c r="H30" i="8"/>
  <c r="I29" i="8"/>
  <c r="J29" i="8" s="1"/>
  <c r="L29" i="8" s="1"/>
  <c r="E36" i="8"/>
  <c r="F35" i="8"/>
  <c r="G35" i="8" s="1"/>
  <c r="K30" i="8" l="1"/>
  <c r="E37" i="8"/>
  <c r="F36" i="8"/>
  <c r="G36" i="8" s="1"/>
  <c r="H31" i="8"/>
  <c r="I30" i="8"/>
  <c r="J30" i="8" s="1"/>
  <c r="L30" i="8" s="1"/>
  <c r="K31" i="8" l="1"/>
  <c r="I31" i="8"/>
  <c r="J31" i="8" s="1"/>
  <c r="L31" i="8" s="1"/>
  <c r="H32" i="8"/>
  <c r="E38" i="8"/>
  <c r="F37" i="8"/>
  <c r="G37" i="8" s="1"/>
  <c r="K32" i="8" l="1"/>
  <c r="E39" i="8"/>
  <c r="F38" i="8"/>
  <c r="G38" i="8" s="1"/>
  <c r="I32" i="8"/>
  <c r="J32" i="8" s="1"/>
  <c r="H33" i="8"/>
  <c r="L32" i="8" l="1"/>
  <c r="K33" i="8"/>
  <c r="I33" i="8"/>
  <c r="J33" i="8" s="1"/>
  <c r="H34" i="8"/>
  <c r="E40" i="8"/>
  <c r="F39" i="8"/>
  <c r="G39" i="8" s="1"/>
  <c r="L33" i="8" l="1"/>
  <c r="K34" i="8"/>
  <c r="E41" i="8"/>
  <c r="F40" i="8"/>
  <c r="G40" i="8" s="1"/>
  <c r="H35" i="8"/>
  <c r="I34" i="8"/>
  <c r="J34" i="8" s="1"/>
  <c r="L34" i="8" s="1"/>
  <c r="K35" i="8" l="1"/>
  <c r="E42" i="8"/>
  <c r="F41" i="8"/>
  <c r="G41" i="8" s="1"/>
  <c r="H36" i="8"/>
  <c r="I35" i="8"/>
  <c r="J35" i="8" s="1"/>
  <c r="L35" i="8" s="1"/>
  <c r="I36" i="8" l="1"/>
  <c r="J36" i="8" s="1"/>
  <c r="L36" i="8" s="1"/>
  <c r="K37" i="8" s="1"/>
  <c r="H37" i="8"/>
  <c r="E43" i="8"/>
  <c r="F42" i="8"/>
  <c r="G42" i="8" s="1"/>
  <c r="E44" i="8" l="1"/>
  <c r="F43" i="8"/>
  <c r="G43" i="8" s="1"/>
  <c r="I37" i="8"/>
  <c r="J37" i="8" s="1"/>
  <c r="L37" i="8" s="1"/>
  <c r="K38" i="8" s="1"/>
  <c r="H38" i="8"/>
  <c r="I38" i="8" l="1"/>
  <c r="J38" i="8" s="1"/>
  <c r="L38" i="8" s="1"/>
  <c r="K39" i="8" s="1"/>
  <c r="H39" i="8"/>
  <c r="E45" i="8"/>
  <c r="F44" i="8"/>
  <c r="G44" i="8" s="1"/>
  <c r="E46" i="8" l="1"/>
  <c r="F45" i="8"/>
  <c r="G45" i="8" s="1"/>
  <c r="H40" i="8"/>
  <c r="I39" i="8"/>
  <c r="J39" i="8" s="1"/>
  <c r="L39" i="8" s="1"/>
  <c r="K40" i="8" s="1"/>
  <c r="I40" i="8" l="1"/>
  <c r="J40" i="8" s="1"/>
  <c r="L40" i="8" s="1"/>
  <c r="H41" i="8"/>
  <c r="E47" i="8"/>
  <c r="F46" i="8"/>
  <c r="G46" i="8" s="1"/>
  <c r="I41" i="8" l="1"/>
  <c r="J41" i="8" s="1"/>
  <c r="L41" i="8" s="1"/>
  <c r="K42" i="8" s="1"/>
  <c r="H42" i="8"/>
  <c r="E48" i="8"/>
  <c r="F47" i="8"/>
  <c r="G47" i="8" s="1"/>
  <c r="I42" i="8" l="1"/>
  <c r="J42" i="8" s="1"/>
  <c r="L42" i="8" s="1"/>
  <c r="H43" i="8"/>
  <c r="E49" i="8"/>
  <c r="F48" i="8"/>
  <c r="G48" i="8" s="1"/>
  <c r="H44" i="8" l="1"/>
  <c r="I43" i="8"/>
  <c r="J43" i="8" s="1"/>
  <c r="L43" i="8" s="1"/>
  <c r="E50" i="8"/>
  <c r="F49" i="8"/>
  <c r="G49" i="8" s="1"/>
  <c r="I44" i="8" l="1"/>
  <c r="J44" i="8" s="1"/>
  <c r="L44" i="8" s="1"/>
  <c r="H45" i="8"/>
  <c r="E51" i="8"/>
  <c r="F50" i="8"/>
  <c r="G50" i="8" s="1"/>
  <c r="E52" i="8" l="1"/>
  <c r="F51" i="8"/>
  <c r="G51" i="8" s="1"/>
  <c r="I45" i="8"/>
  <c r="J45" i="8" s="1"/>
  <c r="L45" i="8" s="1"/>
  <c r="H46" i="8"/>
  <c r="I46" i="8" l="1"/>
  <c r="J46" i="8" s="1"/>
  <c r="L46" i="8" s="1"/>
  <c r="H47" i="8"/>
  <c r="E53" i="8"/>
  <c r="F52" i="8"/>
  <c r="G52" i="8" s="1"/>
  <c r="H48" i="8" l="1"/>
  <c r="I47" i="8"/>
  <c r="J47" i="8" s="1"/>
  <c r="L47" i="8" s="1"/>
  <c r="E54" i="8"/>
  <c r="F53" i="8"/>
  <c r="G53" i="8" s="1"/>
  <c r="E55" i="8" l="1"/>
  <c r="F54" i="8"/>
  <c r="G54" i="8" s="1"/>
  <c r="I48" i="8"/>
  <c r="J48" i="8" s="1"/>
  <c r="L48" i="8" s="1"/>
  <c r="H49" i="8"/>
  <c r="I49" i="8" l="1"/>
  <c r="J49" i="8" s="1"/>
  <c r="L49" i="8" s="1"/>
  <c r="H50" i="8"/>
  <c r="E56" i="8"/>
  <c r="F56" i="8" s="1"/>
  <c r="G56" i="8" s="1"/>
  <c r="F55" i="8"/>
  <c r="G55" i="8" s="1"/>
  <c r="I50" i="8" l="1"/>
  <c r="J50" i="8" s="1"/>
  <c r="L50" i="8" s="1"/>
  <c r="H51" i="8"/>
  <c r="I51" i="8" l="1"/>
  <c r="J51" i="8" s="1"/>
  <c r="L51" i="8" s="1"/>
  <c r="H52" i="8"/>
  <c r="H53" i="8" l="1"/>
  <c r="I52" i="8"/>
  <c r="J52" i="8" s="1"/>
  <c r="L52" i="8" s="1"/>
  <c r="H54" i="8" l="1"/>
  <c r="I53" i="8"/>
  <c r="J53" i="8" s="1"/>
  <c r="L53" i="8" s="1"/>
  <c r="I54" i="8" l="1"/>
  <c r="J54" i="8" s="1"/>
  <c r="L54" i="8" s="1"/>
  <c r="H55" i="8"/>
  <c r="I55" i="8" l="1"/>
  <c r="J55" i="8" s="1"/>
  <c r="L55" i="8" s="1"/>
  <c r="H56" i="8"/>
  <c r="I56" i="8" s="1"/>
  <c r="J56" i="8" s="1"/>
  <c r="L5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KSH</author>
    <author>KSY</author>
  </authors>
  <commentList>
    <comment ref="K10" authorId="0" shapeId="0" xr:uid="{48040EAA-FE1D-4EDF-B249-E71B741DE215}">
      <text>
        <r>
          <rPr>
            <b/>
            <sz val="9"/>
            <color indexed="81"/>
            <rFont val="Tahoma"/>
            <family val="2"/>
          </rPr>
          <t>KSH:</t>
        </r>
        <r>
          <rPr>
            <sz val="9"/>
            <color indexed="81"/>
            <rFont val="Tahoma"/>
            <family val="2"/>
          </rPr>
          <t xml:space="preserve">
=</t>
        </r>
        <r>
          <rPr>
            <sz val="9"/>
            <color indexed="81"/>
            <rFont val="돋움"/>
            <family val="3"/>
            <charset val="129"/>
          </rPr>
          <t>운용수익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인건비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운영비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관리비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개발비</t>
        </r>
      </text>
    </comment>
    <comment ref="H12" authorId="1" shapeId="0" xr:uid="{2C678D85-8F16-4EC9-B8FE-B7C748205DCD}">
      <text>
        <r>
          <rPr>
            <b/>
            <sz val="10"/>
            <color indexed="81"/>
            <rFont val="Tahoma"/>
            <family val="2"/>
          </rPr>
          <t>2024.12</t>
        </r>
        <r>
          <rPr>
            <b/>
            <sz val="10"/>
            <color indexed="81"/>
            <rFont val="돋움"/>
            <family val="3"/>
            <charset val="129"/>
          </rPr>
          <t>월반영</t>
        </r>
      </text>
    </comment>
  </commentList>
</comments>
</file>

<file path=xl/sharedStrings.xml><?xml version="1.0" encoding="utf-8"?>
<sst xmlns="http://schemas.openxmlformats.org/spreadsheetml/2006/main" count="172" uniqueCount="125">
  <si>
    <t>2023년</t>
    <phoneticPr fontId="2" type="noConversion"/>
  </si>
  <si>
    <t>2024년</t>
  </si>
  <si>
    <t>2025년</t>
  </si>
  <si>
    <t>2026년</t>
  </si>
  <si>
    <t>2027년</t>
  </si>
  <si>
    <t>2028년</t>
  </si>
  <si>
    <t>2029년</t>
  </si>
  <si>
    <t>2030년</t>
  </si>
  <si>
    <t>2031년</t>
  </si>
  <si>
    <t>2032년</t>
  </si>
  <si>
    <t>2033년</t>
  </si>
  <si>
    <t>2034년</t>
  </si>
  <si>
    <t>2035년</t>
  </si>
  <si>
    <t>2036년</t>
  </si>
  <si>
    <t>2037년</t>
  </si>
  <si>
    <t>2038년</t>
  </si>
  <si>
    <t>2039년</t>
  </si>
  <si>
    <t>2040년</t>
  </si>
  <si>
    <t>2041년</t>
  </si>
  <si>
    <t>2042년</t>
  </si>
  <si>
    <t>2043년</t>
  </si>
  <si>
    <t>2044년</t>
  </si>
  <si>
    <t>2045년</t>
  </si>
  <si>
    <t>2046년</t>
  </si>
  <si>
    <t>2047년</t>
  </si>
  <si>
    <t>2048년</t>
  </si>
  <si>
    <t>2049년</t>
  </si>
  <si>
    <t>2050년</t>
  </si>
  <si>
    <t>2051년</t>
  </si>
  <si>
    <t>2052년</t>
  </si>
  <si>
    <t>2053년</t>
  </si>
  <si>
    <t>2054년</t>
  </si>
  <si>
    <t>2055년</t>
  </si>
  <si>
    <t>2056년</t>
  </si>
  <si>
    <t>2057년</t>
  </si>
  <si>
    <t>2058년</t>
  </si>
  <si>
    <t>2059년</t>
  </si>
  <si>
    <t>2060년</t>
  </si>
  <si>
    <t>2061년</t>
  </si>
  <si>
    <t>2062년</t>
  </si>
  <si>
    <t>2063년</t>
  </si>
  <si>
    <t>2064년</t>
  </si>
  <si>
    <t>2065년</t>
  </si>
  <si>
    <t>2066년</t>
  </si>
  <si>
    <t>2067년</t>
  </si>
  <si>
    <t>2068년</t>
  </si>
  <si>
    <t>월지급액</t>
    <phoneticPr fontId="2" type="noConversion"/>
  </si>
  <si>
    <t>연간지급액</t>
    <phoneticPr fontId="2" type="noConversion"/>
  </si>
  <si>
    <t>가입자수</t>
    <phoneticPr fontId="2" type="noConversion"/>
  </si>
  <si>
    <t>월납입액</t>
    <phoneticPr fontId="2" type="noConversion"/>
  </si>
  <si>
    <t>연간납입액</t>
    <phoneticPr fontId="2" type="noConversion"/>
  </si>
  <si>
    <t>적립율</t>
    <phoneticPr fontId="4" type="noConversion"/>
  </si>
  <si>
    <t>기준보수</t>
    <phoneticPr fontId="4" type="noConversion"/>
  </si>
  <si>
    <t>월납입금</t>
    <phoneticPr fontId="4" type="noConversion"/>
  </si>
  <si>
    <t>지급율</t>
    <phoneticPr fontId="4" type="noConversion"/>
  </si>
  <si>
    <t>월지급액</t>
    <phoneticPr fontId="4" type="noConversion"/>
  </si>
  <si>
    <t>20년이내</t>
    <phoneticPr fontId="4" type="noConversion"/>
  </si>
  <si>
    <t>20년초과</t>
    <phoneticPr fontId="4" type="noConversion"/>
  </si>
  <si>
    <t>2024년</t>
    <phoneticPr fontId="4" type="noConversion"/>
  </si>
  <si>
    <t>평균지급율</t>
    <phoneticPr fontId="2" type="noConversion"/>
  </si>
  <si>
    <t>평균지급액</t>
    <phoneticPr fontId="2" type="noConversion"/>
  </si>
  <si>
    <t>감액율</t>
    <phoneticPr fontId="2" type="noConversion"/>
  </si>
  <si>
    <t>연평균신규가입</t>
    <phoneticPr fontId="2" type="noConversion"/>
  </si>
  <si>
    <t>70세</t>
    <phoneticPr fontId="2" type="noConversion"/>
  </si>
  <si>
    <t>69세</t>
    <phoneticPr fontId="2" type="noConversion"/>
  </si>
  <si>
    <t>68세</t>
    <phoneticPr fontId="2" type="noConversion"/>
  </si>
  <si>
    <t>67세</t>
    <phoneticPr fontId="2" type="noConversion"/>
  </si>
  <si>
    <t>65세</t>
    <phoneticPr fontId="2" type="noConversion"/>
  </si>
  <si>
    <t>66세</t>
    <phoneticPr fontId="2" type="noConversion"/>
  </si>
  <si>
    <t>인원</t>
    <phoneticPr fontId="2" type="noConversion"/>
  </si>
  <si>
    <t>기금운용수익</t>
    <phoneticPr fontId="2" type="noConversion"/>
  </si>
  <si>
    <t>연금수지예상(조기수급자 3% 감액율 적용)</t>
    <phoneticPr fontId="2" type="noConversion"/>
  </si>
  <si>
    <t>장기수급자</t>
    <phoneticPr fontId="2" type="noConversion"/>
  </si>
  <si>
    <t>11년차</t>
    <phoneticPr fontId="2" type="noConversion"/>
  </si>
  <si>
    <t>16년차</t>
    <phoneticPr fontId="2" type="noConversion"/>
  </si>
  <si>
    <t>11년이상</t>
    <phoneticPr fontId="2" type="noConversion"/>
  </si>
  <si>
    <t>16년이상</t>
    <phoneticPr fontId="2" type="noConversion"/>
  </si>
  <si>
    <t>1987년</t>
    <phoneticPr fontId="2" type="noConversion"/>
  </si>
  <si>
    <t>1988년</t>
  </si>
  <si>
    <t>1989년</t>
  </si>
  <si>
    <t>1990년</t>
  </si>
  <si>
    <t>1991년</t>
  </si>
  <si>
    <t>1992년</t>
  </si>
  <si>
    <t>1993년</t>
  </si>
  <si>
    <t>1994년</t>
  </si>
  <si>
    <t>1995년</t>
  </si>
  <si>
    <t>1996년</t>
  </si>
  <si>
    <t>1997년</t>
  </si>
  <si>
    <t>1998년</t>
  </si>
  <si>
    <t>1999년</t>
  </si>
  <si>
    <t>2000년</t>
  </si>
  <si>
    <t>2001년</t>
  </si>
  <si>
    <t>2002년</t>
  </si>
  <si>
    <t>2003년</t>
  </si>
  <si>
    <t>2004년</t>
  </si>
  <si>
    <t>2005년</t>
  </si>
  <si>
    <t>2006년</t>
  </si>
  <si>
    <t>2007년</t>
  </si>
  <si>
    <t>2008년</t>
  </si>
  <si>
    <t>2009년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</si>
  <si>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</si>
  <si>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</si>
  <si>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</si>
  <si>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</si>
  <si>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</si>
  <si>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</si>
  <si>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</si>
  <si>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</si>
  <si>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</si>
  <si>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</si>
  <si>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</si>
  <si>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</si>
  <si>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</si>
  <si>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</si>
  <si>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연령</t>
    <phoneticPr fontId="2" type="noConversion"/>
  </si>
  <si>
    <t>수급개시</t>
    <phoneticPr fontId="2" type="noConversion"/>
  </si>
  <si>
    <t>은퇴연령</t>
    <phoneticPr fontId="2" type="noConversion"/>
  </si>
  <si>
    <t>수급자수</t>
    <phoneticPr fontId="2" type="noConversion"/>
  </si>
  <si>
    <t>수급연도</t>
    <phoneticPr fontId="2" type="noConversion"/>
  </si>
  <si>
    <t>자연감소율</t>
    <phoneticPr fontId="2" type="noConversion"/>
  </si>
  <si>
    <t>평균납입율</t>
    <phoneticPr fontId="2" type="noConversion"/>
  </si>
  <si>
    <t>장기수급자수</t>
    <phoneticPr fontId="2" type="noConversion"/>
  </si>
  <si>
    <t>연금자산</t>
    <phoneticPr fontId="2" type="noConversion"/>
  </si>
  <si>
    <t>2025년</t>
    <phoneticPr fontId="4" type="noConversion"/>
  </si>
  <si>
    <t>(2022년 개정안/25년반영)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</si>
</sst>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_ "/>
  </numFmts>
  <fonts count="12" x14ac:knownFonts="1">
    <font>
      <sz val="11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76" fontId="3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/>
    <xf numFmtId="10" fontId="3" fillId="0" borderId="0" xfId="0" applyNumberFormat="1" applyFont="1">
      <alignment vertical="center"/>
    </xf>
    <xf numFmtId="9" fontId="3" fillId="0" borderId="0" xfId="0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vertical="center" shrinkToFit="1"/>
    </xf>
    <xf numFmtId="176" fontId="9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 shrinkToFit="1"/>
    </xf>
    <xf numFmtId="10" fontId="3" fillId="0" borderId="0" xfId="0" applyNumberFormat="1" applyFont="1" applyAlignment="1">
      <alignment horizontal="center" vertical="center" shrinkToFit="1"/>
    </xf>
    <xf numFmtId="10" fontId="3" fillId="0" borderId="0" xfId="0" applyNumberFormat="1" applyFont="1" applyAlignment="1">
      <alignment vertical="center" shrinkToFit="1"/>
    </xf>
    <xf numFmtId="176" fontId="3" fillId="0" borderId="2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3" xfId="0" applyNumberFormat="1" applyFont="1" applyBorder="1">
      <alignment vertical="center"/>
    </xf>
    <xf numFmtId="176" fontId="1" fillId="0" borderId="2" xfId="0" applyNumberFormat="1" applyFont="1" applyBorder="1" applyAlignment="1"/>
    <xf numFmtId="176" fontId="1" fillId="0" borderId="4" xfId="0" applyNumberFormat="1" applyFont="1" applyBorder="1" applyAlignment="1"/>
    <xf numFmtId="176" fontId="1" fillId="0" borderId="5" xfId="0" applyNumberFormat="1" applyFont="1" applyBorder="1" applyAlignment="1"/>
    <xf numFmtId="176" fontId="3" fillId="0" borderId="5" xfId="0" applyNumberFormat="1" applyFont="1" applyBorder="1" applyAlignment="1">
      <alignment horizontal="center" vertical="center"/>
    </xf>
    <xf numFmtId="176" fontId="3" fillId="0" borderId="5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176" fontId="3" fillId="2" borderId="7" xfId="0" applyNumberFormat="1" applyFont="1" applyFill="1" applyBorder="1" applyAlignment="1">
      <alignment horizontal="center" vertical="center" shrinkToFit="1"/>
    </xf>
    <xf numFmtId="176" fontId="3" fillId="2" borderId="8" xfId="0" applyNumberFormat="1" applyFont="1" applyFill="1" applyBorder="1" applyAlignment="1">
      <alignment horizontal="center" vertical="center" shrinkToFit="1"/>
    </xf>
    <xf numFmtId="176" fontId="3" fillId="2" borderId="9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/>
    <xf numFmtId="176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>
      <alignment vertical="center"/>
    </xf>
    <xf numFmtId="176" fontId="3" fillId="4" borderId="3" xfId="0" applyNumberFormat="1" applyFont="1" applyFill="1" applyBorder="1">
      <alignment vertical="center"/>
    </xf>
    <xf numFmtId="0" fontId="0" fillId="0" borderId="1" xfId="0" applyBorder="1" applyAlignment="1"/>
    <xf numFmtId="0" fontId="0" fillId="4" borderId="1" xfId="0" applyFill="1" applyBorder="1" applyAlignment="1"/>
    <xf numFmtId="176" fontId="1" fillId="3" borderId="2" xfId="0" applyNumberFormat="1" applyFont="1" applyFill="1" applyBorder="1" applyAlignment="1"/>
    <xf numFmtId="0" fontId="0" fillId="3" borderId="1" xfId="0" applyFill="1" applyBorder="1" applyAlignment="1"/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>
      <alignment vertical="center"/>
    </xf>
    <xf numFmtId="176" fontId="3" fillId="3" borderId="3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A0B3-4B49-4F59-93D6-C56ED1792A1B}">
  <sheetPr>
    <pageSetUpPr fitToPage="1"/>
  </sheetPr>
  <dimension ref="A1:V92"/>
  <sheetViews>
    <sheetView tabSelected="1" zoomScaleNormal="100" workbookViewId="0">
      <selection activeCell="K16" sqref="K16"/>
    </sheetView>
  </sheetViews>
  <sheetFormatPr defaultRowHeight="15.95" customHeight="1" x14ac:dyDescent="0.3"/>
  <cols>
    <col min="1" max="1" width="5.875" style="1" customWidth="1"/>
    <col min="2" max="2" width="4.75" style="1" customWidth="1"/>
    <col min="3" max="4" width="7.75" style="1" customWidth="1"/>
    <col min="5" max="5" width="7.125" style="1" customWidth="1"/>
    <col min="6" max="6" width="12.125" style="1" bestFit="1" customWidth="1"/>
    <col min="7" max="7" width="14" style="1" customWidth="1"/>
    <col min="8" max="8" width="7.375" style="1" customWidth="1"/>
    <col min="9" max="9" width="12.375" style="1" customWidth="1"/>
    <col min="10" max="10" width="13.125" style="1" customWidth="1"/>
    <col min="11" max="11" width="12.875" style="1" customWidth="1"/>
    <col min="12" max="13" width="14.625" style="1" bestFit="1" customWidth="1"/>
    <col min="14" max="14" width="9" style="1"/>
    <col min="15" max="15" width="7.375" style="1" customWidth="1"/>
    <col min="16" max="16" width="7.875" style="1" customWidth="1"/>
    <col min="17" max="18" width="10.625" style="1" bestFit="1" customWidth="1"/>
    <col min="19" max="22" width="9" style="1"/>
    <col min="23" max="23" width="9.75" style="1" bestFit="1" customWidth="1"/>
    <col min="24" max="257" width="9" style="1"/>
    <col min="258" max="259" width="8.125" style="1" bestFit="1" customWidth="1"/>
    <col min="260" max="260" width="9" style="1"/>
    <col min="261" max="261" width="8.875" style="1" bestFit="1" customWidth="1"/>
    <col min="262" max="263" width="9.75" style="1" bestFit="1" customWidth="1"/>
    <col min="264" max="264" width="9" style="1"/>
    <col min="265" max="265" width="9.75" style="1" bestFit="1" customWidth="1"/>
    <col min="266" max="267" width="9" style="1"/>
    <col min="268" max="268" width="9.75" style="1" bestFit="1" customWidth="1"/>
    <col min="269" max="513" width="9" style="1"/>
    <col min="514" max="515" width="8.125" style="1" bestFit="1" customWidth="1"/>
    <col min="516" max="516" width="9" style="1"/>
    <col min="517" max="517" width="8.875" style="1" bestFit="1" customWidth="1"/>
    <col min="518" max="519" width="9.75" style="1" bestFit="1" customWidth="1"/>
    <col min="520" max="520" width="9" style="1"/>
    <col min="521" max="521" width="9.75" style="1" bestFit="1" customWidth="1"/>
    <col min="522" max="523" width="9" style="1"/>
    <col min="524" max="524" width="9.75" style="1" bestFit="1" customWidth="1"/>
    <col min="525" max="769" width="9" style="1"/>
    <col min="770" max="771" width="8.125" style="1" bestFit="1" customWidth="1"/>
    <col min="772" max="772" width="9" style="1"/>
    <col min="773" max="773" width="8.875" style="1" bestFit="1" customWidth="1"/>
    <col min="774" max="775" width="9.75" style="1" bestFit="1" customWidth="1"/>
    <col min="776" max="776" width="9" style="1"/>
    <col min="777" max="777" width="9.75" style="1" bestFit="1" customWidth="1"/>
    <col min="778" max="779" width="9" style="1"/>
    <col min="780" max="780" width="9.75" style="1" bestFit="1" customWidth="1"/>
    <col min="781" max="1025" width="9" style="1"/>
    <col min="1026" max="1027" width="8.125" style="1" bestFit="1" customWidth="1"/>
    <col min="1028" max="1028" width="9" style="1"/>
    <col min="1029" max="1029" width="8.875" style="1" bestFit="1" customWidth="1"/>
    <col min="1030" max="1031" width="9.75" style="1" bestFit="1" customWidth="1"/>
    <col min="1032" max="1032" width="9" style="1"/>
    <col min="1033" max="1033" width="9.75" style="1" bestFit="1" customWidth="1"/>
    <col min="1034" max="1035" width="9" style="1"/>
    <col min="1036" max="1036" width="9.75" style="1" bestFit="1" customWidth="1"/>
    <col min="1037" max="1281" width="9" style="1"/>
    <col min="1282" max="1283" width="8.125" style="1" bestFit="1" customWidth="1"/>
    <col min="1284" max="1284" width="9" style="1"/>
    <col min="1285" max="1285" width="8.875" style="1" bestFit="1" customWidth="1"/>
    <col min="1286" max="1287" width="9.75" style="1" bestFit="1" customWidth="1"/>
    <col min="1288" max="1288" width="9" style="1"/>
    <col min="1289" max="1289" width="9.75" style="1" bestFit="1" customWidth="1"/>
    <col min="1290" max="1291" width="9" style="1"/>
    <col min="1292" max="1292" width="9.75" style="1" bestFit="1" customWidth="1"/>
    <col min="1293" max="1537" width="9" style="1"/>
    <col min="1538" max="1539" width="8.125" style="1" bestFit="1" customWidth="1"/>
    <col min="1540" max="1540" width="9" style="1"/>
    <col min="1541" max="1541" width="8.875" style="1" bestFit="1" customWidth="1"/>
    <col min="1542" max="1543" width="9.75" style="1" bestFit="1" customWidth="1"/>
    <col min="1544" max="1544" width="9" style="1"/>
    <col min="1545" max="1545" width="9.75" style="1" bestFit="1" customWidth="1"/>
    <col min="1546" max="1547" width="9" style="1"/>
    <col min="1548" max="1548" width="9.75" style="1" bestFit="1" customWidth="1"/>
    <col min="1549" max="1793" width="9" style="1"/>
    <col min="1794" max="1795" width="8.125" style="1" bestFit="1" customWidth="1"/>
    <col min="1796" max="1796" width="9" style="1"/>
    <col min="1797" max="1797" width="8.875" style="1" bestFit="1" customWidth="1"/>
    <col min="1798" max="1799" width="9.75" style="1" bestFit="1" customWidth="1"/>
    <col min="1800" max="1800" width="9" style="1"/>
    <col min="1801" max="1801" width="9.75" style="1" bestFit="1" customWidth="1"/>
    <col min="1802" max="1803" width="9" style="1"/>
    <col min="1804" max="1804" width="9.75" style="1" bestFit="1" customWidth="1"/>
    <col min="1805" max="2049" width="9" style="1"/>
    <col min="2050" max="2051" width="8.125" style="1" bestFit="1" customWidth="1"/>
    <col min="2052" max="2052" width="9" style="1"/>
    <col min="2053" max="2053" width="8.875" style="1" bestFit="1" customWidth="1"/>
    <col min="2054" max="2055" width="9.75" style="1" bestFit="1" customWidth="1"/>
    <col min="2056" max="2056" width="9" style="1"/>
    <col min="2057" max="2057" width="9.75" style="1" bestFit="1" customWidth="1"/>
    <col min="2058" max="2059" width="9" style="1"/>
    <col min="2060" max="2060" width="9.75" style="1" bestFit="1" customWidth="1"/>
    <col min="2061" max="2305" width="9" style="1"/>
    <col min="2306" max="2307" width="8.125" style="1" bestFit="1" customWidth="1"/>
    <col min="2308" max="2308" width="9" style="1"/>
    <col min="2309" max="2309" width="8.875" style="1" bestFit="1" customWidth="1"/>
    <col min="2310" max="2311" width="9.75" style="1" bestFit="1" customWidth="1"/>
    <col min="2312" max="2312" width="9" style="1"/>
    <col min="2313" max="2313" width="9.75" style="1" bestFit="1" customWidth="1"/>
    <col min="2314" max="2315" width="9" style="1"/>
    <col min="2316" max="2316" width="9.75" style="1" bestFit="1" customWidth="1"/>
    <col min="2317" max="2561" width="9" style="1"/>
    <col min="2562" max="2563" width="8.125" style="1" bestFit="1" customWidth="1"/>
    <col min="2564" max="2564" width="9" style="1"/>
    <col min="2565" max="2565" width="8.875" style="1" bestFit="1" customWidth="1"/>
    <col min="2566" max="2567" width="9.75" style="1" bestFit="1" customWidth="1"/>
    <col min="2568" max="2568" width="9" style="1"/>
    <col min="2569" max="2569" width="9.75" style="1" bestFit="1" customWidth="1"/>
    <col min="2570" max="2571" width="9" style="1"/>
    <col min="2572" max="2572" width="9.75" style="1" bestFit="1" customWidth="1"/>
    <col min="2573" max="2817" width="9" style="1"/>
    <col min="2818" max="2819" width="8.125" style="1" bestFit="1" customWidth="1"/>
    <col min="2820" max="2820" width="9" style="1"/>
    <col min="2821" max="2821" width="8.875" style="1" bestFit="1" customWidth="1"/>
    <col min="2822" max="2823" width="9.75" style="1" bestFit="1" customWidth="1"/>
    <col min="2824" max="2824" width="9" style="1"/>
    <col min="2825" max="2825" width="9.75" style="1" bestFit="1" customWidth="1"/>
    <col min="2826" max="2827" width="9" style="1"/>
    <col min="2828" max="2828" width="9.75" style="1" bestFit="1" customWidth="1"/>
    <col min="2829" max="3073" width="9" style="1"/>
    <col min="3074" max="3075" width="8.125" style="1" bestFit="1" customWidth="1"/>
    <col min="3076" max="3076" width="9" style="1"/>
    <col min="3077" max="3077" width="8.875" style="1" bestFit="1" customWidth="1"/>
    <col min="3078" max="3079" width="9.75" style="1" bestFit="1" customWidth="1"/>
    <col min="3080" max="3080" width="9" style="1"/>
    <col min="3081" max="3081" width="9.75" style="1" bestFit="1" customWidth="1"/>
    <col min="3082" max="3083" width="9" style="1"/>
    <col min="3084" max="3084" width="9.75" style="1" bestFit="1" customWidth="1"/>
    <col min="3085" max="3329" width="9" style="1"/>
    <col min="3330" max="3331" width="8.125" style="1" bestFit="1" customWidth="1"/>
    <col min="3332" max="3332" width="9" style="1"/>
    <col min="3333" max="3333" width="8.875" style="1" bestFit="1" customWidth="1"/>
    <col min="3334" max="3335" width="9.75" style="1" bestFit="1" customWidth="1"/>
    <col min="3336" max="3336" width="9" style="1"/>
    <col min="3337" max="3337" width="9.75" style="1" bestFit="1" customWidth="1"/>
    <col min="3338" max="3339" width="9" style="1"/>
    <col min="3340" max="3340" width="9.75" style="1" bestFit="1" customWidth="1"/>
    <col min="3341" max="3585" width="9" style="1"/>
    <col min="3586" max="3587" width="8.125" style="1" bestFit="1" customWidth="1"/>
    <col min="3588" max="3588" width="9" style="1"/>
    <col min="3589" max="3589" width="8.875" style="1" bestFit="1" customWidth="1"/>
    <col min="3590" max="3591" width="9.75" style="1" bestFit="1" customWidth="1"/>
    <col min="3592" max="3592" width="9" style="1"/>
    <col min="3593" max="3593" width="9.75" style="1" bestFit="1" customWidth="1"/>
    <col min="3594" max="3595" width="9" style="1"/>
    <col min="3596" max="3596" width="9.75" style="1" bestFit="1" customWidth="1"/>
    <col min="3597" max="3841" width="9" style="1"/>
    <col min="3842" max="3843" width="8.125" style="1" bestFit="1" customWidth="1"/>
    <col min="3844" max="3844" width="9" style="1"/>
    <col min="3845" max="3845" width="8.875" style="1" bestFit="1" customWidth="1"/>
    <col min="3846" max="3847" width="9.75" style="1" bestFit="1" customWidth="1"/>
    <col min="3848" max="3848" width="9" style="1"/>
    <col min="3849" max="3849" width="9.75" style="1" bestFit="1" customWidth="1"/>
    <col min="3850" max="3851" width="9" style="1"/>
    <col min="3852" max="3852" width="9.75" style="1" bestFit="1" customWidth="1"/>
    <col min="3853" max="4097" width="9" style="1"/>
    <col min="4098" max="4099" width="8.125" style="1" bestFit="1" customWidth="1"/>
    <col min="4100" max="4100" width="9" style="1"/>
    <col min="4101" max="4101" width="8.875" style="1" bestFit="1" customWidth="1"/>
    <col min="4102" max="4103" width="9.75" style="1" bestFit="1" customWidth="1"/>
    <col min="4104" max="4104" width="9" style="1"/>
    <col min="4105" max="4105" width="9.75" style="1" bestFit="1" customWidth="1"/>
    <col min="4106" max="4107" width="9" style="1"/>
    <col min="4108" max="4108" width="9.75" style="1" bestFit="1" customWidth="1"/>
    <col min="4109" max="4353" width="9" style="1"/>
    <col min="4354" max="4355" width="8.125" style="1" bestFit="1" customWidth="1"/>
    <col min="4356" max="4356" width="9" style="1"/>
    <col min="4357" max="4357" width="8.875" style="1" bestFit="1" customWidth="1"/>
    <col min="4358" max="4359" width="9.75" style="1" bestFit="1" customWidth="1"/>
    <col min="4360" max="4360" width="9" style="1"/>
    <col min="4361" max="4361" width="9.75" style="1" bestFit="1" customWidth="1"/>
    <col min="4362" max="4363" width="9" style="1"/>
    <col min="4364" max="4364" width="9.75" style="1" bestFit="1" customWidth="1"/>
    <col min="4365" max="4609" width="9" style="1"/>
    <col min="4610" max="4611" width="8.125" style="1" bestFit="1" customWidth="1"/>
    <col min="4612" max="4612" width="9" style="1"/>
    <col min="4613" max="4613" width="8.875" style="1" bestFit="1" customWidth="1"/>
    <col min="4614" max="4615" width="9.75" style="1" bestFit="1" customWidth="1"/>
    <col min="4616" max="4616" width="9" style="1"/>
    <col min="4617" max="4617" width="9.75" style="1" bestFit="1" customWidth="1"/>
    <col min="4618" max="4619" width="9" style="1"/>
    <col min="4620" max="4620" width="9.75" style="1" bestFit="1" customWidth="1"/>
    <col min="4621" max="4865" width="9" style="1"/>
    <col min="4866" max="4867" width="8.125" style="1" bestFit="1" customWidth="1"/>
    <col min="4868" max="4868" width="9" style="1"/>
    <col min="4869" max="4869" width="8.875" style="1" bestFit="1" customWidth="1"/>
    <col min="4870" max="4871" width="9.75" style="1" bestFit="1" customWidth="1"/>
    <col min="4872" max="4872" width="9" style="1"/>
    <col min="4873" max="4873" width="9.75" style="1" bestFit="1" customWidth="1"/>
    <col min="4874" max="4875" width="9" style="1"/>
    <col min="4876" max="4876" width="9.75" style="1" bestFit="1" customWidth="1"/>
    <col min="4877" max="5121" width="9" style="1"/>
    <col min="5122" max="5123" width="8.125" style="1" bestFit="1" customWidth="1"/>
    <col min="5124" max="5124" width="9" style="1"/>
    <col min="5125" max="5125" width="8.875" style="1" bestFit="1" customWidth="1"/>
    <col min="5126" max="5127" width="9.75" style="1" bestFit="1" customWidth="1"/>
    <col min="5128" max="5128" width="9" style="1"/>
    <col min="5129" max="5129" width="9.75" style="1" bestFit="1" customWidth="1"/>
    <col min="5130" max="5131" width="9" style="1"/>
    <col min="5132" max="5132" width="9.75" style="1" bestFit="1" customWidth="1"/>
    <col min="5133" max="5377" width="9" style="1"/>
    <col min="5378" max="5379" width="8.125" style="1" bestFit="1" customWidth="1"/>
    <col min="5380" max="5380" width="9" style="1"/>
    <col min="5381" max="5381" width="8.875" style="1" bestFit="1" customWidth="1"/>
    <col min="5382" max="5383" width="9.75" style="1" bestFit="1" customWidth="1"/>
    <col min="5384" max="5384" width="9" style="1"/>
    <col min="5385" max="5385" width="9.75" style="1" bestFit="1" customWidth="1"/>
    <col min="5386" max="5387" width="9" style="1"/>
    <col min="5388" max="5388" width="9.75" style="1" bestFit="1" customWidth="1"/>
    <col min="5389" max="5633" width="9" style="1"/>
    <col min="5634" max="5635" width="8.125" style="1" bestFit="1" customWidth="1"/>
    <col min="5636" max="5636" width="9" style="1"/>
    <col min="5637" max="5637" width="8.875" style="1" bestFit="1" customWidth="1"/>
    <col min="5638" max="5639" width="9.75" style="1" bestFit="1" customWidth="1"/>
    <col min="5640" max="5640" width="9" style="1"/>
    <col min="5641" max="5641" width="9.75" style="1" bestFit="1" customWidth="1"/>
    <col min="5642" max="5643" width="9" style="1"/>
    <col min="5644" max="5644" width="9.75" style="1" bestFit="1" customWidth="1"/>
    <col min="5645" max="5889" width="9" style="1"/>
    <col min="5890" max="5891" width="8.125" style="1" bestFit="1" customWidth="1"/>
    <col min="5892" max="5892" width="9" style="1"/>
    <col min="5893" max="5893" width="8.875" style="1" bestFit="1" customWidth="1"/>
    <col min="5894" max="5895" width="9.75" style="1" bestFit="1" customWidth="1"/>
    <col min="5896" max="5896" width="9" style="1"/>
    <col min="5897" max="5897" width="9.75" style="1" bestFit="1" customWidth="1"/>
    <col min="5898" max="5899" width="9" style="1"/>
    <col min="5900" max="5900" width="9.75" style="1" bestFit="1" customWidth="1"/>
    <col min="5901" max="6145" width="9" style="1"/>
    <col min="6146" max="6147" width="8.125" style="1" bestFit="1" customWidth="1"/>
    <col min="6148" max="6148" width="9" style="1"/>
    <col min="6149" max="6149" width="8.875" style="1" bestFit="1" customWidth="1"/>
    <col min="6150" max="6151" width="9.75" style="1" bestFit="1" customWidth="1"/>
    <col min="6152" max="6152" width="9" style="1"/>
    <col min="6153" max="6153" width="9.75" style="1" bestFit="1" customWidth="1"/>
    <col min="6154" max="6155" width="9" style="1"/>
    <col min="6156" max="6156" width="9.75" style="1" bestFit="1" customWidth="1"/>
    <col min="6157" max="6401" width="9" style="1"/>
    <col min="6402" max="6403" width="8.125" style="1" bestFit="1" customWidth="1"/>
    <col min="6404" max="6404" width="9" style="1"/>
    <col min="6405" max="6405" width="8.875" style="1" bestFit="1" customWidth="1"/>
    <col min="6406" max="6407" width="9.75" style="1" bestFit="1" customWidth="1"/>
    <col min="6408" max="6408" width="9" style="1"/>
    <col min="6409" max="6409" width="9.75" style="1" bestFit="1" customWidth="1"/>
    <col min="6410" max="6411" width="9" style="1"/>
    <col min="6412" max="6412" width="9.75" style="1" bestFit="1" customWidth="1"/>
    <col min="6413" max="6657" width="9" style="1"/>
    <col min="6658" max="6659" width="8.125" style="1" bestFit="1" customWidth="1"/>
    <col min="6660" max="6660" width="9" style="1"/>
    <col min="6661" max="6661" width="8.875" style="1" bestFit="1" customWidth="1"/>
    <col min="6662" max="6663" width="9.75" style="1" bestFit="1" customWidth="1"/>
    <col min="6664" max="6664" width="9" style="1"/>
    <col min="6665" max="6665" width="9.75" style="1" bestFit="1" customWidth="1"/>
    <col min="6666" max="6667" width="9" style="1"/>
    <col min="6668" max="6668" width="9.75" style="1" bestFit="1" customWidth="1"/>
    <col min="6669" max="6913" width="9" style="1"/>
    <col min="6914" max="6915" width="8.125" style="1" bestFit="1" customWidth="1"/>
    <col min="6916" max="6916" width="9" style="1"/>
    <col min="6917" max="6917" width="8.875" style="1" bestFit="1" customWidth="1"/>
    <col min="6918" max="6919" width="9.75" style="1" bestFit="1" customWidth="1"/>
    <col min="6920" max="6920" width="9" style="1"/>
    <col min="6921" max="6921" width="9.75" style="1" bestFit="1" customWidth="1"/>
    <col min="6922" max="6923" width="9" style="1"/>
    <col min="6924" max="6924" width="9.75" style="1" bestFit="1" customWidth="1"/>
    <col min="6925" max="7169" width="9" style="1"/>
    <col min="7170" max="7171" width="8.125" style="1" bestFit="1" customWidth="1"/>
    <col min="7172" max="7172" width="9" style="1"/>
    <col min="7173" max="7173" width="8.875" style="1" bestFit="1" customWidth="1"/>
    <col min="7174" max="7175" width="9.75" style="1" bestFit="1" customWidth="1"/>
    <col min="7176" max="7176" width="9" style="1"/>
    <col min="7177" max="7177" width="9.75" style="1" bestFit="1" customWidth="1"/>
    <col min="7178" max="7179" width="9" style="1"/>
    <col min="7180" max="7180" width="9.75" style="1" bestFit="1" customWidth="1"/>
    <col min="7181" max="7425" width="9" style="1"/>
    <col min="7426" max="7427" width="8.125" style="1" bestFit="1" customWidth="1"/>
    <col min="7428" max="7428" width="9" style="1"/>
    <col min="7429" max="7429" width="8.875" style="1" bestFit="1" customWidth="1"/>
    <col min="7430" max="7431" width="9.75" style="1" bestFit="1" customWidth="1"/>
    <col min="7432" max="7432" width="9" style="1"/>
    <col min="7433" max="7433" width="9.75" style="1" bestFit="1" customWidth="1"/>
    <col min="7434" max="7435" width="9" style="1"/>
    <col min="7436" max="7436" width="9.75" style="1" bestFit="1" customWidth="1"/>
    <col min="7437" max="7681" width="9" style="1"/>
    <col min="7682" max="7683" width="8.125" style="1" bestFit="1" customWidth="1"/>
    <col min="7684" max="7684" width="9" style="1"/>
    <col min="7685" max="7685" width="8.875" style="1" bestFit="1" customWidth="1"/>
    <col min="7686" max="7687" width="9.75" style="1" bestFit="1" customWidth="1"/>
    <col min="7688" max="7688" width="9" style="1"/>
    <col min="7689" max="7689" width="9.75" style="1" bestFit="1" customWidth="1"/>
    <col min="7690" max="7691" width="9" style="1"/>
    <col min="7692" max="7692" width="9.75" style="1" bestFit="1" customWidth="1"/>
    <col min="7693" max="7937" width="9" style="1"/>
    <col min="7938" max="7939" width="8.125" style="1" bestFit="1" customWidth="1"/>
    <col min="7940" max="7940" width="9" style="1"/>
    <col min="7941" max="7941" width="8.875" style="1" bestFit="1" customWidth="1"/>
    <col min="7942" max="7943" width="9.75" style="1" bestFit="1" customWidth="1"/>
    <col min="7944" max="7944" width="9" style="1"/>
    <col min="7945" max="7945" width="9.75" style="1" bestFit="1" customWidth="1"/>
    <col min="7946" max="7947" width="9" style="1"/>
    <col min="7948" max="7948" width="9.75" style="1" bestFit="1" customWidth="1"/>
    <col min="7949" max="8193" width="9" style="1"/>
    <col min="8194" max="8195" width="8.125" style="1" bestFit="1" customWidth="1"/>
    <col min="8196" max="8196" width="9" style="1"/>
    <col min="8197" max="8197" width="8.875" style="1" bestFit="1" customWidth="1"/>
    <col min="8198" max="8199" width="9.75" style="1" bestFit="1" customWidth="1"/>
    <col min="8200" max="8200" width="9" style="1"/>
    <col min="8201" max="8201" width="9.75" style="1" bestFit="1" customWidth="1"/>
    <col min="8202" max="8203" width="9" style="1"/>
    <col min="8204" max="8204" width="9.75" style="1" bestFit="1" customWidth="1"/>
    <col min="8205" max="8449" width="9" style="1"/>
    <col min="8450" max="8451" width="8.125" style="1" bestFit="1" customWidth="1"/>
    <col min="8452" max="8452" width="9" style="1"/>
    <col min="8453" max="8453" width="8.875" style="1" bestFit="1" customWidth="1"/>
    <col min="8454" max="8455" width="9.75" style="1" bestFit="1" customWidth="1"/>
    <col min="8456" max="8456" width="9" style="1"/>
    <col min="8457" max="8457" width="9.75" style="1" bestFit="1" customWidth="1"/>
    <col min="8458" max="8459" width="9" style="1"/>
    <col min="8460" max="8460" width="9.75" style="1" bestFit="1" customWidth="1"/>
    <col min="8461" max="8705" width="9" style="1"/>
    <col min="8706" max="8707" width="8.125" style="1" bestFit="1" customWidth="1"/>
    <col min="8708" max="8708" width="9" style="1"/>
    <col min="8709" max="8709" width="8.875" style="1" bestFit="1" customWidth="1"/>
    <col min="8710" max="8711" width="9.75" style="1" bestFit="1" customWidth="1"/>
    <col min="8712" max="8712" width="9" style="1"/>
    <col min="8713" max="8713" width="9.75" style="1" bestFit="1" customWidth="1"/>
    <col min="8714" max="8715" width="9" style="1"/>
    <col min="8716" max="8716" width="9.75" style="1" bestFit="1" customWidth="1"/>
    <col min="8717" max="8961" width="9" style="1"/>
    <col min="8962" max="8963" width="8.125" style="1" bestFit="1" customWidth="1"/>
    <col min="8964" max="8964" width="9" style="1"/>
    <col min="8965" max="8965" width="8.875" style="1" bestFit="1" customWidth="1"/>
    <col min="8966" max="8967" width="9.75" style="1" bestFit="1" customWidth="1"/>
    <col min="8968" max="8968" width="9" style="1"/>
    <col min="8969" max="8969" width="9.75" style="1" bestFit="1" customWidth="1"/>
    <col min="8970" max="8971" width="9" style="1"/>
    <col min="8972" max="8972" width="9.75" style="1" bestFit="1" customWidth="1"/>
    <col min="8973" max="9217" width="9" style="1"/>
    <col min="9218" max="9219" width="8.125" style="1" bestFit="1" customWidth="1"/>
    <col min="9220" max="9220" width="9" style="1"/>
    <col min="9221" max="9221" width="8.875" style="1" bestFit="1" customWidth="1"/>
    <col min="9222" max="9223" width="9.75" style="1" bestFit="1" customWidth="1"/>
    <col min="9224" max="9224" width="9" style="1"/>
    <col min="9225" max="9225" width="9.75" style="1" bestFit="1" customWidth="1"/>
    <col min="9226" max="9227" width="9" style="1"/>
    <col min="9228" max="9228" width="9.75" style="1" bestFit="1" customWidth="1"/>
    <col min="9229" max="9473" width="9" style="1"/>
    <col min="9474" max="9475" width="8.125" style="1" bestFit="1" customWidth="1"/>
    <col min="9476" max="9476" width="9" style="1"/>
    <col min="9477" max="9477" width="8.875" style="1" bestFit="1" customWidth="1"/>
    <col min="9478" max="9479" width="9.75" style="1" bestFit="1" customWidth="1"/>
    <col min="9480" max="9480" width="9" style="1"/>
    <col min="9481" max="9481" width="9.75" style="1" bestFit="1" customWidth="1"/>
    <col min="9482" max="9483" width="9" style="1"/>
    <col min="9484" max="9484" width="9.75" style="1" bestFit="1" customWidth="1"/>
    <col min="9485" max="9729" width="9" style="1"/>
    <col min="9730" max="9731" width="8.125" style="1" bestFit="1" customWidth="1"/>
    <col min="9732" max="9732" width="9" style="1"/>
    <col min="9733" max="9733" width="8.875" style="1" bestFit="1" customWidth="1"/>
    <col min="9734" max="9735" width="9.75" style="1" bestFit="1" customWidth="1"/>
    <col min="9736" max="9736" width="9" style="1"/>
    <col min="9737" max="9737" width="9.75" style="1" bestFit="1" customWidth="1"/>
    <col min="9738" max="9739" width="9" style="1"/>
    <col min="9740" max="9740" width="9.75" style="1" bestFit="1" customWidth="1"/>
    <col min="9741" max="9985" width="9" style="1"/>
    <col min="9986" max="9987" width="8.125" style="1" bestFit="1" customWidth="1"/>
    <col min="9988" max="9988" width="9" style="1"/>
    <col min="9989" max="9989" width="8.875" style="1" bestFit="1" customWidth="1"/>
    <col min="9990" max="9991" width="9.75" style="1" bestFit="1" customWidth="1"/>
    <col min="9992" max="9992" width="9" style="1"/>
    <col min="9993" max="9993" width="9.75" style="1" bestFit="1" customWidth="1"/>
    <col min="9994" max="9995" width="9" style="1"/>
    <col min="9996" max="9996" width="9.75" style="1" bestFit="1" customWidth="1"/>
    <col min="9997" max="10241" width="9" style="1"/>
    <col min="10242" max="10243" width="8.125" style="1" bestFit="1" customWidth="1"/>
    <col min="10244" max="10244" width="9" style="1"/>
    <col min="10245" max="10245" width="8.875" style="1" bestFit="1" customWidth="1"/>
    <col min="10246" max="10247" width="9.75" style="1" bestFit="1" customWidth="1"/>
    <col min="10248" max="10248" width="9" style="1"/>
    <col min="10249" max="10249" width="9.75" style="1" bestFit="1" customWidth="1"/>
    <col min="10250" max="10251" width="9" style="1"/>
    <col min="10252" max="10252" width="9.75" style="1" bestFit="1" customWidth="1"/>
    <col min="10253" max="10497" width="9" style="1"/>
    <col min="10498" max="10499" width="8.125" style="1" bestFit="1" customWidth="1"/>
    <col min="10500" max="10500" width="9" style="1"/>
    <col min="10501" max="10501" width="8.875" style="1" bestFit="1" customWidth="1"/>
    <col min="10502" max="10503" width="9.75" style="1" bestFit="1" customWidth="1"/>
    <col min="10504" max="10504" width="9" style="1"/>
    <col min="10505" max="10505" width="9.75" style="1" bestFit="1" customWidth="1"/>
    <col min="10506" max="10507" width="9" style="1"/>
    <col min="10508" max="10508" width="9.75" style="1" bestFit="1" customWidth="1"/>
    <col min="10509" max="10753" width="9" style="1"/>
    <col min="10754" max="10755" width="8.125" style="1" bestFit="1" customWidth="1"/>
    <col min="10756" max="10756" width="9" style="1"/>
    <col min="10757" max="10757" width="8.875" style="1" bestFit="1" customWidth="1"/>
    <col min="10758" max="10759" width="9.75" style="1" bestFit="1" customWidth="1"/>
    <col min="10760" max="10760" width="9" style="1"/>
    <col min="10761" max="10761" width="9.75" style="1" bestFit="1" customWidth="1"/>
    <col min="10762" max="10763" width="9" style="1"/>
    <col min="10764" max="10764" width="9.75" style="1" bestFit="1" customWidth="1"/>
    <col min="10765" max="11009" width="9" style="1"/>
    <col min="11010" max="11011" width="8.125" style="1" bestFit="1" customWidth="1"/>
    <col min="11012" max="11012" width="9" style="1"/>
    <col min="11013" max="11013" width="8.875" style="1" bestFit="1" customWidth="1"/>
    <col min="11014" max="11015" width="9.75" style="1" bestFit="1" customWidth="1"/>
    <col min="11016" max="11016" width="9" style="1"/>
    <col min="11017" max="11017" width="9.75" style="1" bestFit="1" customWidth="1"/>
    <col min="11018" max="11019" width="9" style="1"/>
    <col min="11020" max="11020" width="9.75" style="1" bestFit="1" customWidth="1"/>
    <col min="11021" max="11265" width="9" style="1"/>
    <col min="11266" max="11267" width="8.125" style="1" bestFit="1" customWidth="1"/>
    <col min="11268" max="11268" width="9" style="1"/>
    <col min="11269" max="11269" width="8.875" style="1" bestFit="1" customWidth="1"/>
    <col min="11270" max="11271" width="9.75" style="1" bestFit="1" customWidth="1"/>
    <col min="11272" max="11272" width="9" style="1"/>
    <col min="11273" max="11273" width="9.75" style="1" bestFit="1" customWidth="1"/>
    <col min="11274" max="11275" width="9" style="1"/>
    <col min="11276" max="11276" width="9.75" style="1" bestFit="1" customWidth="1"/>
    <col min="11277" max="11521" width="9" style="1"/>
    <col min="11522" max="11523" width="8.125" style="1" bestFit="1" customWidth="1"/>
    <col min="11524" max="11524" width="9" style="1"/>
    <col min="11525" max="11525" width="8.875" style="1" bestFit="1" customWidth="1"/>
    <col min="11526" max="11527" width="9.75" style="1" bestFit="1" customWidth="1"/>
    <col min="11528" max="11528" width="9" style="1"/>
    <col min="11529" max="11529" width="9.75" style="1" bestFit="1" customWidth="1"/>
    <col min="11530" max="11531" width="9" style="1"/>
    <col min="11532" max="11532" width="9.75" style="1" bestFit="1" customWidth="1"/>
    <col min="11533" max="11777" width="9" style="1"/>
    <col min="11778" max="11779" width="8.125" style="1" bestFit="1" customWidth="1"/>
    <col min="11780" max="11780" width="9" style="1"/>
    <col min="11781" max="11781" width="8.875" style="1" bestFit="1" customWidth="1"/>
    <col min="11782" max="11783" width="9.75" style="1" bestFit="1" customWidth="1"/>
    <col min="11784" max="11784" width="9" style="1"/>
    <col min="11785" max="11785" width="9.75" style="1" bestFit="1" customWidth="1"/>
    <col min="11786" max="11787" width="9" style="1"/>
    <col min="11788" max="11788" width="9.75" style="1" bestFit="1" customWidth="1"/>
    <col min="11789" max="12033" width="9" style="1"/>
    <col min="12034" max="12035" width="8.125" style="1" bestFit="1" customWidth="1"/>
    <col min="12036" max="12036" width="9" style="1"/>
    <col min="12037" max="12037" width="8.875" style="1" bestFit="1" customWidth="1"/>
    <col min="12038" max="12039" width="9.75" style="1" bestFit="1" customWidth="1"/>
    <col min="12040" max="12040" width="9" style="1"/>
    <col min="12041" max="12041" width="9.75" style="1" bestFit="1" customWidth="1"/>
    <col min="12042" max="12043" width="9" style="1"/>
    <col min="12044" max="12044" width="9.75" style="1" bestFit="1" customWidth="1"/>
    <col min="12045" max="12289" width="9" style="1"/>
    <col min="12290" max="12291" width="8.125" style="1" bestFit="1" customWidth="1"/>
    <col min="12292" max="12292" width="9" style="1"/>
    <col min="12293" max="12293" width="8.875" style="1" bestFit="1" customWidth="1"/>
    <col min="12294" max="12295" width="9.75" style="1" bestFit="1" customWidth="1"/>
    <col min="12296" max="12296" width="9" style="1"/>
    <col min="12297" max="12297" width="9.75" style="1" bestFit="1" customWidth="1"/>
    <col min="12298" max="12299" width="9" style="1"/>
    <col min="12300" max="12300" width="9.75" style="1" bestFit="1" customWidth="1"/>
    <col min="12301" max="12545" width="9" style="1"/>
    <col min="12546" max="12547" width="8.125" style="1" bestFit="1" customWidth="1"/>
    <col min="12548" max="12548" width="9" style="1"/>
    <col min="12549" max="12549" width="8.875" style="1" bestFit="1" customWidth="1"/>
    <col min="12550" max="12551" width="9.75" style="1" bestFit="1" customWidth="1"/>
    <col min="12552" max="12552" width="9" style="1"/>
    <col min="12553" max="12553" width="9.75" style="1" bestFit="1" customWidth="1"/>
    <col min="12554" max="12555" width="9" style="1"/>
    <col min="12556" max="12556" width="9.75" style="1" bestFit="1" customWidth="1"/>
    <col min="12557" max="12801" width="9" style="1"/>
    <col min="12802" max="12803" width="8.125" style="1" bestFit="1" customWidth="1"/>
    <col min="12804" max="12804" width="9" style="1"/>
    <col min="12805" max="12805" width="8.875" style="1" bestFit="1" customWidth="1"/>
    <col min="12806" max="12807" width="9.75" style="1" bestFit="1" customWidth="1"/>
    <col min="12808" max="12808" width="9" style="1"/>
    <col min="12809" max="12809" width="9.75" style="1" bestFit="1" customWidth="1"/>
    <col min="12810" max="12811" width="9" style="1"/>
    <col min="12812" max="12812" width="9.75" style="1" bestFit="1" customWidth="1"/>
    <col min="12813" max="13057" width="9" style="1"/>
    <col min="13058" max="13059" width="8.125" style="1" bestFit="1" customWidth="1"/>
    <col min="13060" max="13060" width="9" style="1"/>
    <col min="13061" max="13061" width="8.875" style="1" bestFit="1" customWidth="1"/>
    <col min="13062" max="13063" width="9.75" style="1" bestFit="1" customWidth="1"/>
    <col min="13064" max="13064" width="9" style="1"/>
    <col min="13065" max="13065" width="9.75" style="1" bestFit="1" customWidth="1"/>
    <col min="13066" max="13067" width="9" style="1"/>
    <col min="13068" max="13068" width="9.75" style="1" bestFit="1" customWidth="1"/>
    <col min="13069" max="13313" width="9" style="1"/>
    <col min="13314" max="13315" width="8.125" style="1" bestFit="1" customWidth="1"/>
    <col min="13316" max="13316" width="9" style="1"/>
    <col min="13317" max="13317" width="8.875" style="1" bestFit="1" customWidth="1"/>
    <col min="13318" max="13319" width="9.75" style="1" bestFit="1" customWidth="1"/>
    <col min="13320" max="13320" width="9" style="1"/>
    <col min="13321" max="13321" width="9.75" style="1" bestFit="1" customWidth="1"/>
    <col min="13322" max="13323" width="9" style="1"/>
    <col min="13324" max="13324" width="9.75" style="1" bestFit="1" customWidth="1"/>
    <col min="13325" max="13569" width="9" style="1"/>
    <col min="13570" max="13571" width="8.125" style="1" bestFit="1" customWidth="1"/>
    <col min="13572" max="13572" width="9" style="1"/>
    <col min="13573" max="13573" width="8.875" style="1" bestFit="1" customWidth="1"/>
    <col min="13574" max="13575" width="9.75" style="1" bestFit="1" customWidth="1"/>
    <col min="13576" max="13576" width="9" style="1"/>
    <col min="13577" max="13577" width="9.75" style="1" bestFit="1" customWidth="1"/>
    <col min="13578" max="13579" width="9" style="1"/>
    <col min="13580" max="13580" width="9.75" style="1" bestFit="1" customWidth="1"/>
    <col min="13581" max="13825" width="9" style="1"/>
    <col min="13826" max="13827" width="8.125" style="1" bestFit="1" customWidth="1"/>
    <col min="13828" max="13828" width="9" style="1"/>
    <col min="13829" max="13829" width="8.875" style="1" bestFit="1" customWidth="1"/>
    <col min="13830" max="13831" width="9.75" style="1" bestFit="1" customWidth="1"/>
    <col min="13832" max="13832" width="9" style="1"/>
    <col min="13833" max="13833" width="9.75" style="1" bestFit="1" customWidth="1"/>
    <col min="13834" max="13835" width="9" style="1"/>
    <col min="13836" max="13836" width="9.75" style="1" bestFit="1" customWidth="1"/>
    <col min="13837" max="14081" width="9" style="1"/>
    <col min="14082" max="14083" width="8.125" style="1" bestFit="1" customWidth="1"/>
    <col min="14084" max="14084" width="9" style="1"/>
    <col min="14085" max="14085" width="8.875" style="1" bestFit="1" customWidth="1"/>
    <col min="14086" max="14087" width="9.75" style="1" bestFit="1" customWidth="1"/>
    <col min="14088" max="14088" width="9" style="1"/>
    <col min="14089" max="14089" width="9.75" style="1" bestFit="1" customWidth="1"/>
    <col min="14090" max="14091" width="9" style="1"/>
    <col min="14092" max="14092" width="9.75" style="1" bestFit="1" customWidth="1"/>
    <col min="14093" max="14337" width="9" style="1"/>
    <col min="14338" max="14339" width="8.125" style="1" bestFit="1" customWidth="1"/>
    <col min="14340" max="14340" width="9" style="1"/>
    <col min="14341" max="14341" width="8.875" style="1" bestFit="1" customWidth="1"/>
    <col min="14342" max="14343" width="9.75" style="1" bestFit="1" customWidth="1"/>
    <col min="14344" max="14344" width="9" style="1"/>
    <col min="14345" max="14345" width="9.75" style="1" bestFit="1" customWidth="1"/>
    <col min="14346" max="14347" width="9" style="1"/>
    <col min="14348" max="14348" width="9.75" style="1" bestFit="1" customWidth="1"/>
    <col min="14349" max="14593" width="9" style="1"/>
    <col min="14594" max="14595" width="8.125" style="1" bestFit="1" customWidth="1"/>
    <col min="14596" max="14596" width="9" style="1"/>
    <col min="14597" max="14597" width="8.875" style="1" bestFit="1" customWidth="1"/>
    <col min="14598" max="14599" width="9.75" style="1" bestFit="1" customWidth="1"/>
    <col min="14600" max="14600" width="9" style="1"/>
    <col min="14601" max="14601" width="9.75" style="1" bestFit="1" customWidth="1"/>
    <col min="14602" max="14603" width="9" style="1"/>
    <col min="14604" max="14604" width="9.75" style="1" bestFit="1" customWidth="1"/>
    <col min="14605" max="14849" width="9" style="1"/>
    <col min="14850" max="14851" width="8.125" style="1" bestFit="1" customWidth="1"/>
    <col min="14852" max="14852" width="9" style="1"/>
    <col min="14853" max="14853" width="8.875" style="1" bestFit="1" customWidth="1"/>
    <col min="14854" max="14855" width="9.75" style="1" bestFit="1" customWidth="1"/>
    <col min="14856" max="14856" width="9" style="1"/>
    <col min="14857" max="14857" width="9.75" style="1" bestFit="1" customWidth="1"/>
    <col min="14858" max="14859" width="9" style="1"/>
    <col min="14860" max="14860" width="9.75" style="1" bestFit="1" customWidth="1"/>
    <col min="14861" max="15105" width="9" style="1"/>
    <col min="15106" max="15107" width="8.125" style="1" bestFit="1" customWidth="1"/>
    <col min="15108" max="15108" width="9" style="1"/>
    <col min="15109" max="15109" width="8.875" style="1" bestFit="1" customWidth="1"/>
    <col min="15110" max="15111" width="9.75" style="1" bestFit="1" customWidth="1"/>
    <col min="15112" max="15112" width="9" style="1"/>
    <col min="15113" max="15113" width="9.75" style="1" bestFit="1" customWidth="1"/>
    <col min="15114" max="15115" width="9" style="1"/>
    <col min="15116" max="15116" width="9.75" style="1" bestFit="1" customWidth="1"/>
    <col min="15117" max="15361" width="9" style="1"/>
    <col min="15362" max="15363" width="8.125" style="1" bestFit="1" customWidth="1"/>
    <col min="15364" max="15364" width="9" style="1"/>
    <col min="15365" max="15365" width="8.875" style="1" bestFit="1" customWidth="1"/>
    <col min="15366" max="15367" width="9.75" style="1" bestFit="1" customWidth="1"/>
    <col min="15368" max="15368" width="9" style="1"/>
    <col min="15369" max="15369" width="9.75" style="1" bestFit="1" customWidth="1"/>
    <col min="15370" max="15371" width="9" style="1"/>
    <col min="15372" max="15372" width="9.75" style="1" bestFit="1" customWidth="1"/>
    <col min="15373" max="15617" width="9" style="1"/>
    <col min="15618" max="15619" width="8.125" style="1" bestFit="1" customWidth="1"/>
    <col min="15620" max="15620" width="9" style="1"/>
    <col min="15621" max="15621" width="8.875" style="1" bestFit="1" customWidth="1"/>
    <col min="15622" max="15623" width="9.75" style="1" bestFit="1" customWidth="1"/>
    <col min="15624" max="15624" width="9" style="1"/>
    <col min="15625" max="15625" width="9.75" style="1" bestFit="1" customWidth="1"/>
    <col min="15626" max="15627" width="9" style="1"/>
    <col min="15628" max="15628" width="9.75" style="1" bestFit="1" customWidth="1"/>
    <col min="15629" max="15873" width="9" style="1"/>
    <col min="15874" max="15875" width="8.125" style="1" bestFit="1" customWidth="1"/>
    <col min="15876" max="15876" width="9" style="1"/>
    <col min="15877" max="15877" width="8.875" style="1" bestFit="1" customWidth="1"/>
    <col min="15878" max="15879" width="9.75" style="1" bestFit="1" customWidth="1"/>
    <col min="15880" max="15880" width="9" style="1"/>
    <col min="15881" max="15881" width="9.75" style="1" bestFit="1" customWidth="1"/>
    <col min="15882" max="15883" width="9" style="1"/>
    <col min="15884" max="15884" width="9.75" style="1" bestFit="1" customWidth="1"/>
    <col min="15885" max="16129" width="9" style="1"/>
    <col min="16130" max="16131" width="8.125" style="1" bestFit="1" customWidth="1"/>
    <col min="16132" max="16132" width="9" style="1"/>
    <col min="16133" max="16133" width="8.875" style="1" bestFit="1" customWidth="1"/>
    <col min="16134" max="16135" width="9.75" style="1" bestFit="1" customWidth="1"/>
    <col min="16136" max="16136" width="9" style="1"/>
    <col min="16137" max="16137" width="9.75" style="1" bestFit="1" customWidth="1"/>
    <col min="16138" max="16139" width="9" style="1"/>
    <col min="16140" max="16140" width="9.75" style="1" bestFit="1" customWidth="1"/>
    <col min="16141" max="16384" width="9" style="1"/>
  </cols>
  <sheetData>
    <row r="1" spans="1:22" ht="20.25" x14ac:dyDescent="0.3">
      <c r="A1" s="8" t="s">
        <v>71</v>
      </c>
      <c r="G1" s="11" t="s">
        <v>124</v>
      </c>
    </row>
    <row r="2" spans="1:22" ht="15.95" customHeight="1" x14ac:dyDescent="0.3">
      <c r="K2" s="1" t="s">
        <v>120</v>
      </c>
      <c r="L2" s="5">
        <v>0.83</v>
      </c>
    </row>
    <row r="3" spans="1:22" ht="15.95" customHeight="1" x14ac:dyDescent="0.3">
      <c r="A3" s="3" t="s">
        <v>51</v>
      </c>
      <c r="B3" s="3"/>
      <c r="C3" s="3" t="s">
        <v>52</v>
      </c>
      <c r="D3" s="3"/>
      <c r="E3" s="12" t="s">
        <v>53</v>
      </c>
      <c r="F3" s="12" t="s">
        <v>54</v>
      </c>
      <c r="G3" s="12" t="s">
        <v>55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119</v>
      </c>
    </row>
    <row r="4" spans="1:22" ht="15.95" customHeight="1" x14ac:dyDescent="0.3">
      <c r="A4" s="10" t="s">
        <v>56</v>
      </c>
      <c r="B4" s="2">
        <v>0.03</v>
      </c>
      <c r="C4" s="3" t="s">
        <v>58</v>
      </c>
      <c r="D4" s="10">
        <v>1450000</v>
      </c>
      <c r="E4" s="1">
        <v>370000</v>
      </c>
      <c r="F4" s="2">
        <v>0.6</v>
      </c>
      <c r="G4" s="1">
        <f>D4*F4</f>
        <v>870000</v>
      </c>
      <c r="H4" s="5">
        <f>743045/$D$4</f>
        <v>0.51244482758620691</v>
      </c>
      <c r="I4" s="1">
        <f>D4*H4</f>
        <v>743045</v>
      </c>
      <c r="J4" s="2">
        <v>0.03</v>
      </c>
      <c r="K4" s="1">
        <v>40</v>
      </c>
      <c r="L4" s="2">
        <v>0.02</v>
      </c>
    </row>
    <row r="5" spans="1:22" ht="15.95" customHeight="1" x14ac:dyDescent="0.3">
      <c r="A5" s="10" t="s">
        <v>57</v>
      </c>
      <c r="B5" s="2">
        <v>0.02</v>
      </c>
      <c r="C5" s="3" t="s">
        <v>123</v>
      </c>
      <c r="D5" s="10">
        <v>1450000</v>
      </c>
      <c r="E5" s="1">
        <v>377000</v>
      </c>
      <c r="F5" s="2">
        <v>0.6</v>
      </c>
      <c r="G5" s="1">
        <f>D5*F5</f>
        <v>870000</v>
      </c>
      <c r="H5" s="5">
        <f>743045/$D$4</f>
        <v>0.51244482758620691</v>
      </c>
      <c r="I5" s="1">
        <f>D5*H5</f>
        <v>743045</v>
      </c>
      <c r="J5" s="2">
        <v>0.03</v>
      </c>
      <c r="K5" s="1">
        <v>40</v>
      </c>
      <c r="L5" s="2">
        <v>0.02</v>
      </c>
    </row>
    <row r="6" spans="1:22" ht="15.95" customHeight="1" x14ac:dyDescent="0.3">
      <c r="A6" s="10" t="s">
        <v>61</v>
      </c>
      <c r="B6" s="6" t="s">
        <v>63</v>
      </c>
      <c r="C6" s="3" t="s">
        <v>64</v>
      </c>
      <c r="D6" s="3" t="s">
        <v>65</v>
      </c>
      <c r="E6" s="3" t="s">
        <v>66</v>
      </c>
      <c r="F6" s="6" t="s">
        <v>68</v>
      </c>
      <c r="G6" s="3" t="s">
        <v>67</v>
      </c>
      <c r="H6" s="13" t="s">
        <v>72</v>
      </c>
      <c r="I6" s="3" t="s">
        <v>73</v>
      </c>
      <c r="J6" s="6" t="s">
        <v>74</v>
      </c>
      <c r="K6" s="3"/>
      <c r="L6" s="2"/>
      <c r="P6" s="2"/>
      <c r="Q6" s="2"/>
      <c r="R6" s="2"/>
      <c r="S6" s="2"/>
      <c r="T6" s="2"/>
      <c r="U6" s="2"/>
    </row>
    <row r="7" spans="1:22" ht="15.95" customHeight="1" x14ac:dyDescent="0.3">
      <c r="A7" s="2">
        <v>0.03</v>
      </c>
      <c r="B7" s="6">
        <v>1</v>
      </c>
      <c r="C7" s="6">
        <v>0.97</v>
      </c>
      <c r="D7" s="6">
        <v>0.94</v>
      </c>
      <c r="E7" s="6">
        <v>0.91</v>
      </c>
      <c r="F7" s="6">
        <v>0.88</v>
      </c>
      <c r="G7" s="6">
        <v>0.85</v>
      </c>
      <c r="H7" s="14"/>
      <c r="I7" s="6">
        <v>0.9</v>
      </c>
      <c r="J7" s="6">
        <v>0.85</v>
      </c>
      <c r="K7" s="6"/>
      <c r="M7" s="2"/>
      <c r="Q7" s="7"/>
      <c r="R7" s="7"/>
      <c r="S7" s="7"/>
      <c r="T7" s="7"/>
      <c r="U7" s="7"/>
      <c r="V7" s="7"/>
    </row>
    <row r="8" spans="1:22" ht="15.95" customHeight="1" x14ac:dyDescent="0.3">
      <c r="A8" s="2">
        <v>0.02</v>
      </c>
      <c r="B8" s="6">
        <v>1</v>
      </c>
      <c r="C8" s="6">
        <v>0.98</v>
      </c>
      <c r="D8" s="6">
        <v>0.96</v>
      </c>
      <c r="E8" s="6">
        <v>0.94</v>
      </c>
      <c r="F8" s="6">
        <v>0.92</v>
      </c>
      <c r="G8" s="6">
        <v>0.9</v>
      </c>
      <c r="H8" s="14" t="s">
        <v>121</v>
      </c>
      <c r="I8" s="6" t="s">
        <v>75</v>
      </c>
      <c r="J8" s="6" t="s">
        <v>76</v>
      </c>
      <c r="K8" s="2"/>
      <c r="M8" s="2"/>
    </row>
    <row r="9" spans="1:22" ht="15.95" customHeight="1" x14ac:dyDescent="0.3">
      <c r="I9" s="1">
        <v>89</v>
      </c>
      <c r="J9" s="1">
        <v>208</v>
      </c>
    </row>
    <row r="10" spans="1:22" ht="15.95" customHeight="1" x14ac:dyDescent="0.3">
      <c r="A10" s="25" t="s">
        <v>114</v>
      </c>
      <c r="B10" s="26" t="s">
        <v>69</v>
      </c>
      <c r="C10" s="26" t="s">
        <v>118</v>
      </c>
      <c r="D10" s="26" t="s">
        <v>116</v>
      </c>
      <c r="E10" s="26" t="s">
        <v>117</v>
      </c>
      <c r="F10" s="26" t="s">
        <v>46</v>
      </c>
      <c r="G10" s="26" t="s">
        <v>47</v>
      </c>
      <c r="H10" s="26" t="s">
        <v>48</v>
      </c>
      <c r="I10" s="26" t="s">
        <v>49</v>
      </c>
      <c r="J10" s="26" t="s">
        <v>50</v>
      </c>
      <c r="K10" s="26" t="s">
        <v>70</v>
      </c>
      <c r="L10" s="27" t="s">
        <v>122</v>
      </c>
      <c r="N10" s="9" t="s">
        <v>115</v>
      </c>
      <c r="O10" s="1" t="s">
        <v>69</v>
      </c>
    </row>
    <row r="11" spans="1:22" ht="15.95" customHeight="1" x14ac:dyDescent="0.3">
      <c r="A11" s="15"/>
      <c r="B11" s="16"/>
      <c r="C11" s="17" t="s">
        <v>0</v>
      </c>
      <c r="D11" s="16">
        <v>68</v>
      </c>
      <c r="E11" s="16">
        <v>634</v>
      </c>
      <c r="F11" s="16"/>
      <c r="G11" s="16"/>
      <c r="H11" s="16">
        <v>1821</v>
      </c>
      <c r="I11" s="16"/>
      <c r="J11" s="16"/>
      <c r="K11" s="16"/>
      <c r="L11" s="18">
        <v>49351779983</v>
      </c>
      <c r="N11" s="9" t="s">
        <v>77</v>
      </c>
      <c r="O11" s="1">
        <v>1</v>
      </c>
    </row>
    <row r="12" spans="1:22" ht="15.95" customHeight="1" x14ac:dyDescent="0.25">
      <c r="A12" s="19">
        <v>71</v>
      </c>
      <c r="B12" s="4">
        <v>0</v>
      </c>
      <c r="C12" s="17" t="s">
        <v>1</v>
      </c>
      <c r="D12" s="16">
        <v>68</v>
      </c>
      <c r="E12" s="16">
        <v>652</v>
      </c>
      <c r="F12" s="16">
        <f t="shared" ref="F12:F56" si="0">$I$5*E12-$I$5*(P37*0.1+Q32*0.15)</f>
        <v>455560889.5</v>
      </c>
      <c r="G12" s="16">
        <f>F12*12</f>
        <v>5466730674</v>
      </c>
      <c r="H12" s="16">
        <v>1972</v>
      </c>
      <c r="I12" s="16">
        <f>$E$5*H12*0.83</f>
        <v>617058520</v>
      </c>
      <c r="J12" s="16">
        <f>I12*12</f>
        <v>7404702240</v>
      </c>
      <c r="K12" s="16">
        <v>1844523970</v>
      </c>
      <c r="L12" s="18">
        <v>51149520870</v>
      </c>
      <c r="N12" s="9" t="s">
        <v>78</v>
      </c>
      <c r="O12" s="1">
        <v>1</v>
      </c>
    </row>
    <row r="13" spans="1:22" ht="15.95" customHeight="1" x14ac:dyDescent="0.25">
      <c r="A13" s="19">
        <v>70</v>
      </c>
      <c r="B13" s="4">
        <v>23</v>
      </c>
      <c r="C13" s="17" t="s">
        <v>2</v>
      </c>
      <c r="D13" s="16">
        <v>68</v>
      </c>
      <c r="E13" s="16">
        <f t="shared" ref="E13:E56" si="1">E12+B16-$L$5*E12</f>
        <v>676.96</v>
      </c>
      <c r="F13" s="16">
        <f t="shared" si="0"/>
        <v>471618091.95000005</v>
      </c>
      <c r="G13" s="16">
        <f t="shared" ref="G13:G56" si="2">F13*12</f>
        <v>5659417103.4000006</v>
      </c>
      <c r="H13" s="16">
        <f t="shared" ref="H13:H56" si="3">H12+$K$5-B16</f>
        <v>1974</v>
      </c>
      <c r="I13" s="16">
        <f t="shared" ref="I13:I56" si="4">$E$5*H13*0.83</f>
        <v>617684340</v>
      </c>
      <c r="J13" s="16">
        <f t="shared" ref="J13:J56" si="5">I13*12</f>
        <v>7412212080</v>
      </c>
      <c r="K13" s="16">
        <f t="shared" ref="K13:K32" si="6">L12*0.04</f>
        <v>2045980834.8</v>
      </c>
      <c r="L13" s="18">
        <f t="shared" ref="L13:L27" si="7">L12+J13+K13-G13</f>
        <v>54948296681.400002</v>
      </c>
      <c r="N13" s="9" t="s">
        <v>79</v>
      </c>
      <c r="O13" s="1">
        <v>1</v>
      </c>
    </row>
    <row r="14" spans="1:22" ht="15.95" customHeight="1" x14ac:dyDescent="0.3">
      <c r="A14" s="19">
        <v>69</v>
      </c>
      <c r="B14" s="32">
        <v>32</v>
      </c>
      <c r="C14" s="17" t="s">
        <v>3</v>
      </c>
      <c r="D14" s="16">
        <v>68</v>
      </c>
      <c r="E14" s="16">
        <f t="shared" si="1"/>
        <v>717.42079999999999</v>
      </c>
      <c r="F14" s="16">
        <f t="shared" si="0"/>
        <v>499676065.58599997</v>
      </c>
      <c r="G14" s="16">
        <f t="shared" si="2"/>
        <v>5996112787.0319996</v>
      </c>
      <c r="H14" s="16">
        <f t="shared" si="3"/>
        <v>1960</v>
      </c>
      <c r="I14" s="16">
        <f t="shared" si="4"/>
        <v>613303600</v>
      </c>
      <c r="J14" s="16">
        <f t="shared" si="5"/>
        <v>7359643200</v>
      </c>
      <c r="K14" s="16">
        <f t="shared" si="6"/>
        <v>2197931867.256</v>
      </c>
      <c r="L14" s="18">
        <f t="shared" si="7"/>
        <v>58509758961.624001</v>
      </c>
      <c r="N14" s="9" t="s">
        <v>80</v>
      </c>
      <c r="O14" s="1">
        <v>1</v>
      </c>
    </row>
    <row r="15" spans="1:22" ht="15.95" customHeight="1" x14ac:dyDescent="0.3">
      <c r="A15" s="19">
        <v>68</v>
      </c>
      <c r="B15" s="32">
        <v>39</v>
      </c>
      <c r="C15" s="17" t="s">
        <v>4</v>
      </c>
      <c r="D15" s="16">
        <v>68</v>
      </c>
      <c r="E15" s="16">
        <f t="shared" si="1"/>
        <v>775.07238399999994</v>
      </c>
      <c r="F15" s="16">
        <f t="shared" si="0"/>
        <v>540581869.81927991</v>
      </c>
      <c r="G15" s="16">
        <f t="shared" si="2"/>
        <v>6486982437.8313589</v>
      </c>
      <c r="H15" s="16">
        <f t="shared" si="3"/>
        <v>1928</v>
      </c>
      <c r="I15" s="16">
        <f t="shared" si="4"/>
        <v>603290480</v>
      </c>
      <c r="J15" s="16">
        <f t="shared" si="5"/>
        <v>7239485760</v>
      </c>
      <c r="K15" s="16">
        <f t="shared" si="6"/>
        <v>2340390358.4649601</v>
      </c>
      <c r="L15" s="18">
        <f t="shared" si="7"/>
        <v>61602652642.257599</v>
      </c>
      <c r="N15" s="9" t="s">
        <v>81</v>
      </c>
      <c r="O15" s="1">
        <v>4</v>
      </c>
    </row>
    <row r="16" spans="1:22" ht="15.95" customHeight="1" x14ac:dyDescent="0.3">
      <c r="A16" s="19">
        <v>67</v>
      </c>
      <c r="B16" s="32">
        <v>38</v>
      </c>
      <c r="C16" s="17" t="s">
        <v>5</v>
      </c>
      <c r="D16" s="16">
        <v>68</v>
      </c>
      <c r="E16" s="16">
        <f t="shared" si="1"/>
        <v>823.57093631999999</v>
      </c>
      <c r="F16" s="16">
        <f t="shared" si="0"/>
        <v>574352189.3778944</v>
      </c>
      <c r="G16" s="16">
        <f t="shared" si="2"/>
        <v>6892226272.5347328</v>
      </c>
      <c r="H16" s="16">
        <f t="shared" si="3"/>
        <v>1904</v>
      </c>
      <c r="I16" s="16">
        <f t="shared" si="4"/>
        <v>595780640</v>
      </c>
      <c r="J16" s="16">
        <f t="shared" si="5"/>
        <v>7149367680</v>
      </c>
      <c r="K16" s="16">
        <f t="shared" si="6"/>
        <v>2464106105.6903038</v>
      </c>
      <c r="L16" s="18">
        <f t="shared" si="7"/>
        <v>64323900155.413177</v>
      </c>
      <c r="N16" s="9" t="s">
        <v>82</v>
      </c>
      <c r="O16" s="1">
        <v>2</v>
      </c>
    </row>
    <row r="17" spans="1:17" ht="15.95" customHeight="1" x14ac:dyDescent="0.3">
      <c r="A17" s="19">
        <v>66</v>
      </c>
      <c r="B17" s="32">
        <v>54</v>
      </c>
      <c r="C17" s="17" t="s">
        <v>6</v>
      </c>
      <c r="D17" s="16">
        <v>68</v>
      </c>
      <c r="E17" s="16">
        <f t="shared" si="1"/>
        <v>877.09951759360001</v>
      </c>
      <c r="F17" s="16">
        <f t="shared" si="0"/>
        <v>611265610.80033648</v>
      </c>
      <c r="G17" s="16">
        <f t="shared" si="2"/>
        <v>7335187329.6040382</v>
      </c>
      <c r="H17" s="16">
        <f t="shared" si="3"/>
        <v>1874</v>
      </c>
      <c r="I17" s="16">
        <f t="shared" si="4"/>
        <v>586393340</v>
      </c>
      <c r="J17" s="16">
        <f t="shared" si="5"/>
        <v>7036720080</v>
      </c>
      <c r="K17" s="16">
        <f t="shared" si="6"/>
        <v>2572956006.216527</v>
      </c>
      <c r="L17" s="18">
        <f t="shared" si="7"/>
        <v>66598388912.025665</v>
      </c>
      <c r="N17" s="9" t="s">
        <v>83</v>
      </c>
      <c r="O17" s="1">
        <v>3</v>
      </c>
    </row>
    <row r="18" spans="1:17" ht="15.95" customHeight="1" x14ac:dyDescent="0.3">
      <c r="A18" s="19">
        <v>65</v>
      </c>
      <c r="B18" s="32">
        <v>72</v>
      </c>
      <c r="C18" s="17" t="s">
        <v>7</v>
      </c>
      <c r="D18" s="16">
        <v>68</v>
      </c>
      <c r="E18" s="16">
        <f t="shared" si="1"/>
        <v>918.55752724172805</v>
      </c>
      <c r="F18" s="16">
        <f t="shared" si="0"/>
        <v>638689922.82932985</v>
      </c>
      <c r="G18" s="16">
        <f t="shared" si="2"/>
        <v>7664279073.9519577</v>
      </c>
      <c r="H18" s="16">
        <f t="shared" si="3"/>
        <v>1855</v>
      </c>
      <c r="I18" s="16">
        <f t="shared" si="4"/>
        <v>580448050</v>
      </c>
      <c r="J18" s="16">
        <f t="shared" si="5"/>
        <v>6965376600</v>
      </c>
      <c r="K18" s="16">
        <f t="shared" si="6"/>
        <v>2663935556.4810266</v>
      </c>
      <c r="L18" s="18">
        <f t="shared" si="7"/>
        <v>68563421994.554741</v>
      </c>
      <c r="N18" s="9" t="s">
        <v>84</v>
      </c>
      <c r="O18" s="1">
        <v>5</v>
      </c>
    </row>
    <row r="19" spans="1:17" ht="15.95" customHeight="1" x14ac:dyDescent="0.3">
      <c r="A19" s="19">
        <v>64</v>
      </c>
      <c r="B19" s="32">
        <v>64</v>
      </c>
      <c r="C19" s="17" t="s">
        <v>8</v>
      </c>
      <c r="D19" s="16">
        <v>68</v>
      </c>
      <c r="E19" s="16">
        <f t="shared" si="1"/>
        <v>965.18637669689349</v>
      </c>
      <c r="F19" s="16">
        <f t="shared" si="0"/>
        <v>671814014.02274323</v>
      </c>
      <c r="G19" s="16">
        <f t="shared" si="2"/>
        <v>8061768168.2729187</v>
      </c>
      <c r="H19" s="16">
        <f t="shared" si="3"/>
        <v>1830</v>
      </c>
      <c r="I19" s="16">
        <f t="shared" si="4"/>
        <v>572625300</v>
      </c>
      <c r="J19" s="16">
        <f t="shared" si="5"/>
        <v>6871503600</v>
      </c>
      <c r="K19" s="16">
        <f t="shared" si="6"/>
        <v>2742536879.7821898</v>
      </c>
      <c r="L19" s="18">
        <f t="shared" si="7"/>
        <v>70115694306.064026</v>
      </c>
      <c r="N19" s="9" t="s">
        <v>85</v>
      </c>
      <c r="O19" s="1">
        <v>7</v>
      </c>
    </row>
    <row r="20" spans="1:17" ht="15.95" customHeight="1" x14ac:dyDescent="0.3">
      <c r="A20" s="19">
        <v>63</v>
      </c>
      <c r="B20" s="32">
        <v>70</v>
      </c>
      <c r="C20" s="17" t="s">
        <v>9</v>
      </c>
      <c r="D20" s="16">
        <v>68</v>
      </c>
      <c r="E20" s="16">
        <f t="shared" si="1"/>
        <v>994.88264916295566</v>
      </c>
      <c r="F20" s="16">
        <f t="shared" si="0"/>
        <v>690610282.79728842</v>
      </c>
      <c r="G20" s="16">
        <f t="shared" si="2"/>
        <v>8287323393.567461</v>
      </c>
      <c r="H20" s="16">
        <f t="shared" si="3"/>
        <v>1821</v>
      </c>
      <c r="I20" s="16">
        <f t="shared" si="4"/>
        <v>569809110</v>
      </c>
      <c r="J20" s="16">
        <f t="shared" si="5"/>
        <v>6837709320</v>
      </c>
      <c r="K20" s="16">
        <f t="shared" si="6"/>
        <v>2804627772.2425609</v>
      </c>
      <c r="L20" s="18">
        <f t="shared" si="7"/>
        <v>71470708004.73912</v>
      </c>
      <c r="N20" s="9" t="s">
        <v>86</v>
      </c>
      <c r="O20" s="1">
        <v>7</v>
      </c>
    </row>
    <row r="21" spans="1:17" ht="15.95" customHeight="1" x14ac:dyDescent="0.3">
      <c r="A21" s="19">
        <v>62</v>
      </c>
      <c r="B21" s="32">
        <v>59</v>
      </c>
      <c r="C21" s="17" t="s">
        <v>10</v>
      </c>
      <c r="D21" s="16">
        <v>68</v>
      </c>
      <c r="E21" s="16">
        <f t="shared" si="1"/>
        <v>1029.9849961796965</v>
      </c>
      <c r="F21" s="16">
        <f t="shared" si="0"/>
        <v>714278009.98634255</v>
      </c>
      <c r="G21" s="16">
        <f t="shared" si="2"/>
        <v>8571336119.8361111</v>
      </c>
      <c r="H21" s="16">
        <f t="shared" si="3"/>
        <v>1806</v>
      </c>
      <c r="I21" s="16">
        <f t="shared" si="4"/>
        <v>565115460</v>
      </c>
      <c r="J21" s="16">
        <f t="shared" si="5"/>
        <v>6781385520</v>
      </c>
      <c r="K21" s="16">
        <f t="shared" si="6"/>
        <v>2858828320.1895647</v>
      </c>
      <c r="L21" s="18">
        <f t="shared" si="7"/>
        <v>72539585725.092575</v>
      </c>
      <c r="N21" s="9" t="s">
        <v>87</v>
      </c>
      <c r="O21" s="1">
        <v>6</v>
      </c>
    </row>
    <row r="22" spans="1:17" ht="15.95" customHeight="1" x14ac:dyDescent="0.3">
      <c r="A22" s="19">
        <v>61</v>
      </c>
      <c r="B22" s="32">
        <v>65</v>
      </c>
      <c r="C22" s="17" t="s">
        <v>11</v>
      </c>
      <c r="D22" s="16">
        <v>68</v>
      </c>
      <c r="E22" s="16">
        <f>E21+B25-$L$5*E21</f>
        <v>1065.3852962561025</v>
      </c>
      <c r="F22" s="16">
        <f t="shared" si="0"/>
        <v>738427195.45661569</v>
      </c>
      <c r="G22" s="16">
        <f t="shared" si="2"/>
        <v>8861126345.4793892</v>
      </c>
      <c r="H22" s="16">
        <f t="shared" si="3"/>
        <v>1790</v>
      </c>
      <c r="I22" s="16">
        <f t="shared" si="4"/>
        <v>560108900</v>
      </c>
      <c r="J22" s="16">
        <f t="shared" si="5"/>
        <v>6721306800</v>
      </c>
      <c r="K22" s="16">
        <f t="shared" si="6"/>
        <v>2901583429.0037031</v>
      </c>
      <c r="L22" s="18">
        <f t="shared" si="7"/>
        <v>73301349608.616898</v>
      </c>
      <c r="N22" s="9" t="s">
        <v>88</v>
      </c>
      <c r="O22" s="1">
        <v>13</v>
      </c>
    </row>
    <row r="23" spans="1:17" ht="15.95" customHeight="1" x14ac:dyDescent="0.3">
      <c r="A23" s="19">
        <v>60</v>
      </c>
      <c r="B23" s="32">
        <v>49</v>
      </c>
      <c r="C23" s="17" t="s">
        <v>12</v>
      </c>
      <c r="D23" s="16">
        <v>68</v>
      </c>
      <c r="E23" s="16">
        <f t="shared" si="1"/>
        <v>1120.0775903309805</v>
      </c>
      <c r="F23" s="16">
        <f t="shared" si="0"/>
        <v>776205307.85748339</v>
      </c>
      <c r="G23" s="16">
        <f t="shared" si="2"/>
        <v>9314463694.2898006</v>
      </c>
      <c r="H23" s="16">
        <f t="shared" si="3"/>
        <v>1754</v>
      </c>
      <c r="I23" s="16">
        <f t="shared" si="4"/>
        <v>548844140</v>
      </c>
      <c r="J23" s="16">
        <f t="shared" si="5"/>
        <v>6586129680</v>
      </c>
      <c r="K23" s="16">
        <f t="shared" si="6"/>
        <v>2932053984.344676</v>
      </c>
      <c r="L23" s="18">
        <f t="shared" si="7"/>
        <v>73505069578.671783</v>
      </c>
      <c r="N23" s="9" t="s">
        <v>89</v>
      </c>
      <c r="O23" s="1">
        <v>10</v>
      </c>
    </row>
    <row r="24" spans="1:17" ht="15.95" customHeight="1" x14ac:dyDescent="0.3">
      <c r="A24" s="34">
        <v>59</v>
      </c>
      <c r="B24" s="35">
        <v>55</v>
      </c>
      <c r="C24" s="36" t="s">
        <v>13</v>
      </c>
      <c r="D24" s="37">
        <v>68</v>
      </c>
      <c r="E24" s="37">
        <f t="shared" si="1"/>
        <v>1177.6760385243608</v>
      </c>
      <c r="F24" s="37">
        <f t="shared" si="0"/>
        <v>816811564.04533374</v>
      </c>
      <c r="G24" s="37">
        <f t="shared" si="2"/>
        <v>9801738768.5440044</v>
      </c>
      <c r="H24" s="37">
        <f t="shared" si="3"/>
        <v>1714</v>
      </c>
      <c r="I24" s="37">
        <f t="shared" si="4"/>
        <v>536327740</v>
      </c>
      <c r="J24" s="37">
        <f t="shared" si="5"/>
        <v>6435932880</v>
      </c>
      <c r="K24" s="37">
        <f t="shared" si="6"/>
        <v>2940202783.1468716</v>
      </c>
      <c r="L24" s="38">
        <f t="shared" si="7"/>
        <v>73079466473.274643</v>
      </c>
      <c r="N24" s="9" t="s">
        <v>90</v>
      </c>
      <c r="O24" s="1">
        <v>14</v>
      </c>
    </row>
    <row r="25" spans="1:17" ht="15.95" customHeight="1" x14ac:dyDescent="0.3">
      <c r="A25" s="19">
        <v>58</v>
      </c>
      <c r="B25" s="32">
        <v>56</v>
      </c>
      <c r="C25" s="17" t="s">
        <v>14</v>
      </c>
      <c r="D25" s="16">
        <v>68</v>
      </c>
      <c r="E25" s="16">
        <f t="shared" si="1"/>
        <v>1226.1225177538736</v>
      </c>
      <c r="F25" s="16">
        <f t="shared" si="0"/>
        <v>849131405.454427</v>
      </c>
      <c r="G25" s="16">
        <f t="shared" si="2"/>
        <v>10189576865.453125</v>
      </c>
      <c r="H25" s="16">
        <f t="shared" si="3"/>
        <v>1682</v>
      </c>
      <c r="I25" s="16">
        <f t="shared" si="4"/>
        <v>526314620</v>
      </c>
      <c r="J25" s="16">
        <f t="shared" si="5"/>
        <v>6315775440</v>
      </c>
      <c r="K25" s="16">
        <f t="shared" si="6"/>
        <v>2923178658.9309859</v>
      </c>
      <c r="L25" s="18">
        <f t="shared" si="7"/>
        <v>72128843706.752502</v>
      </c>
      <c r="N25" s="9" t="s">
        <v>91</v>
      </c>
      <c r="O25" s="1">
        <v>21</v>
      </c>
    </row>
    <row r="26" spans="1:17" ht="15.95" customHeight="1" x14ac:dyDescent="0.3">
      <c r="A26" s="19">
        <v>57</v>
      </c>
      <c r="B26" s="32">
        <v>76</v>
      </c>
      <c r="C26" s="17" t="s">
        <v>15</v>
      </c>
      <c r="D26" s="16">
        <v>68</v>
      </c>
      <c r="E26" s="16">
        <f t="shared" si="1"/>
        <v>1264.600067398796</v>
      </c>
      <c r="F26" s="16">
        <f t="shared" si="0"/>
        <v>872929316.08033836</v>
      </c>
      <c r="G26" s="16">
        <f t="shared" si="2"/>
        <v>10475151792.96406</v>
      </c>
      <c r="H26" s="16">
        <f t="shared" si="3"/>
        <v>1659</v>
      </c>
      <c r="I26" s="16">
        <f t="shared" si="4"/>
        <v>519117690</v>
      </c>
      <c r="J26" s="16">
        <f t="shared" si="5"/>
        <v>6229412280</v>
      </c>
      <c r="K26" s="16">
        <f t="shared" si="6"/>
        <v>2885153748.2701001</v>
      </c>
      <c r="L26" s="18">
        <f t="shared" si="7"/>
        <v>70768257942.058533</v>
      </c>
      <c r="N26" s="9" t="s">
        <v>92</v>
      </c>
      <c r="O26" s="1">
        <v>14</v>
      </c>
    </row>
    <row r="27" spans="1:17" ht="15.95" customHeight="1" x14ac:dyDescent="0.3">
      <c r="A27" s="19">
        <v>56</v>
      </c>
      <c r="B27" s="32">
        <v>80</v>
      </c>
      <c r="C27" s="17" t="s">
        <v>16</v>
      </c>
      <c r="D27" s="16">
        <v>68</v>
      </c>
      <c r="E27" s="16">
        <f t="shared" si="1"/>
        <v>1303.3080660508201</v>
      </c>
      <c r="F27" s="16">
        <f t="shared" si="0"/>
        <v>896972765.18873167</v>
      </c>
      <c r="G27" s="16">
        <f t="shared" si="2"/>
        <v>10763673182.26478</v>
      </c>
      <c r="H27" s="16">
        <f t="shared" si="3"/>
        <v>1635</v>
      </c>
      <c r="I27" s="16">
        <f t="shared" si="4"/>
        <v>511607850</v>
      </c>
      <c r="J27" s="16">
        <f t="shared" si="5"/>
        <v>6139294200</v>
      </c>
      <c r="K27" s="16">
        <f t="shared" si="6"/>
        <v>2830730317.6823416</v>
      </c>
      <c r="L27" s="18">
        <f t="shared" si="7"/>
        <v>68974609277.476089</v>
      </c>
      <c r="N27" s="9" t="s">
        <v>93</v>
      </c>
      <c r="O27" s="1">
        <v>15</v>
      </c>
      <c r="P27" s="1">
        <f>SUM(O11:O27)</f>
        <v>125</v>
      </c>
    </row>
    <row r="28" spans="1:17" ht="15.95" customHeight="1" x14ac:dyDescent="0.3">
      <c r="A28" s="19">
        <v>55</v>
      </c>
      <c r="B28" s="32">
        <v>72</v>
      </c>
      <c r="C28" s="17" t="s">
        <v>17</v>
      </c>
      <c r="D28" s="16">
        <v>68</v>
      </c>
      <c r="E28" s="16">
        <f t="shared" si="1"/>
        <v>1344.2419047298038</v>
      </c>
      <c r="F28" s="16">
        <f t="shared" si="0"/>
        <v>922298591.09995699</v>
      </c>
      <c r="G28" s="16">
        <f t="shared" si="2"/>
        <v>11067583093.199484</v>
      </c>
      <c r="H28" s="16">
        <f t="shared" si="3"/>
        <v>1608</v>
      </c>
      <c r="I28" s="16">
        <f t="shared" si="4"/>
        <v>503159280</v>
      </c>
      <c r="J28" s="16">
        <f t="shared" si="5"/>
        <v>6037911360</v>
      </c>
      <c r="K28" s="16">
        <f>L27*0.04</f>
        <v>2758984371.0990438</v>
      </c>
      <c r="L28" s="18">
        <f>L27+J28+K28-G28</f>
        <v>66703921915.375648</v>
      </c>
      <c r="N28" s="9" t="s">
        <v>94</v>
      </c>
      <c r="O28" s="1">
        <v>18</v>
      </c>
      <c r="P28" s="1">
        <f t="shared" ref="P28:P31" si="8">SUM(O12:O28)</f>
        <v>142</v>
      </c>
    </row>
    <row r="29" spans="1:17" ht="15.95" customHeight="1" x14ac:dyDescent="0.3">
      <c r="A29" s="19">
        <v>54</v>
      </c>
      <c r="B29" s="32">
        <v>63</v>
      </c>
      <c r="C29" s="17" t="s">
        <v>18</v>
      </c>
      <c r="D29" s="16">
        <v>68</v>
      </c>
      <c r="E29" s="16">
        <f t="shared" si="1"/>
        <v>1374.3570666352077</v>
      </c>
      <c r="F29" s="16">
        <f t="shared" si="0"/>
        <v>940997438.82795787</v>
      </c>
      <c r="G29" s="16">
        <f t="shared" si="2"/>
        <v>11291969265.935493</v>
      </c>
      <c r="H29" s="16">
        <f t="shared" si="3"/>
        <v>1591</v>
      </c>
      <c r="I29" s="16">
        <f t="shared" si="4"/>
        <v>497839810</v>
      </c>
      <c r="J29" s="16">
        <f t="shared" si="5"/>
        <v>5974077720</v>
      </c>
      <c r="K29" s="16">
        <f t="shared" si="6"/>
        <v>2668156876.615026</v>
      </c>
      <c r="L29" s="18">
        <f t="shared" ref="L29:L32" si="9">L28+J29+K29-G29</f>
        <v>64054187246.055168</v>
      </c>
      <c r="N29" s="9" t="s">
        <v>95</v>
      </c>
      <c r="O29" s="1">
        <v>18</v>
      </c>
      <c r="P29" s="1">
        <f t="shared" si="8"/>
        <v>159</v>
      </c>
    </row>
    <row r="30" spans="1:17" ht="15.95" customHeight="1" x14ac:dyDescent="0.3">
      <c r="A30" s="19">
        <v>53</v>
      </c>
      <c r="B30" s="32">
        <v>64</v>
      </c>
      <c r="C30" s="17" t="s">
        <v>19</v>
      </c>
      <c r="D30" s="16">
        <v>68</v>
      </c>
      <c r="E30" s="16">
        <f t="shared" si="1"/>
        <v>1409.8699253025036</v>
      </c>
      <c r="F30" s="16">
        <f t="shared" si="0"/>
        <v>962666755.14639878</v>
      </c>
      <c r="G30" s="16">
        <f t="shared" si="2"/>
        <v>11552001061.756786</v>
      </c>
      <c r="H30" s="16">
        <f t="shared" si="3"/>
        <v>1568</v>
      </c>
      <c r="I30" s="16">
        <f t="shared" si="4"/>
        <v>490642880</v>
      </c>
      <c r="J30" s="16">
        <f t="shared" si="5"/>
        <v>5887714560</v>
      </c>
      <c r="K30" s="16">
        <f t="shared" si="6"/>
        <v>2562167489.842207</v>
      </c>
      <c r="L30" s="18">
        <f t="shared" si="9"/>
        <v>60952068234.140594</v>
      </c>
      <c r="N30" s="9" t="s">
        <v>96</v>
      </c>
      <c r="O30" s="1">
        <v>14</v>
      </c>
      <c r="P30" s="1">
        <f t="shared" si="8"/>
        <v>172</v>
      </c>
    </row>
    <row r="31" spans="1:17" ht="15.95" customHeight="1" x14ac:dyDescent="0.3">
      <c r="A31" s="19">
        <v>52</v>
      </c>
      <c r="B31" s="32">
        <v>67</v>
      </c>
      <c r="C31" s="17" t="s">
        <v>20</v>
      </c>
      <c r="D31" s="16">
        <v>68</v>
      </c>
      <c r="E31" s="16">
        <f t="shared" si="1"/>
        <v>1434.6725267964534</v>
      </c>
      <c r="F31" s="16">
        <f t="shared" si="0"/>
        <v>976452172.92347074</v>
      </c>
      <c r="G31" s="16">
        <f t="shared" si="2"/>
        <v>11717426075.08165</v>
      </c>
      <c r="H31" s="16">
        <f t="shared" si="3"/>
        <v>1555</v>
      </c>
      <c r="I31" s="16">
        <f t="shared" si="4"/>
        <v>486575050</v>
      </c>
      <c r="J31" s="16">
        <f t="shared" si="5"/>
        <v>5838900600</v>
      </c>
      <c r="K31" s="16">
        <f t="shared" si="6"/>
        <v>2438082729.365624</v>
      </c>
      <c r="L31" s="18">
        <f t="shared" si="9"/>
        <v>57511625488.424576</v>
      </c>
      <c r="N31" s="9" t="s">
        <v>97</v>
      </c>
      <c r="O31" s="1">
        <v>14</v>
      </c>
      <c r="P31" s="1">
        <f t="shared" si="8"/>
        <v>185</v>
      </c>
    </row>
    <row r="32" spans="1:17" ht="15.95" customHeight="1" x14ac:dyDescent="0.3">
      <c r="A32" s="19">
        <v>51</v>
      </c>
      <c r="B32" s="32">
        <v>57</v>
      </c>
      <c r="C32" s="17" t="s">
        <v>21</v>
      </c>
      <c r="D32" s="16">
        <v>68</v>
      </c>
      <c r="E32" s="16">
        <f t="shared" si="1"/>
        <v>1446.9790762605244</v>
      </c>
      <c r="F32" s="16">
        <f t="shared" si="0"/>
        <v>980358025.72000122</v>
      </c>
      <c r="G32" s="16">
        <f t="shared" si="2"/>
        <v>11764296308.640015</v>
      </c>
      <c r="H32" s="16">
        <f t="shared" si="3"/>
        <v>1554</v>
      </c>
      <c r="I32" s="16">
        <f t="shared" si="4"/>
        <v>486262140</v>
      </c>
      <c r="J32" s="16">
        <f t="shared" si="5"/>
        <v>5835145680</v>
      </c>
      <c r="K32" s="16">
        <f t="shared" si="6"/>
        <v>2300465019.536983</v>
      </c>
      <c r="L32" s="18">
        <f t="shared" si="9"/>
        <v>53882939879.321541</v>
      </c>
      <c r="N32" s="9" t="s">
        <v>98</v>
      </c>
      <c r="O32" s="1">
        <v>19</v>
      </c>
      <c r="P32" s="1">
        <f>SUM(O28:O32)</f>
        <v>83</v>
      </c>
      <c r="Q32" s="1">
        <f>SUM(O16:O32)</f>
        <v>200</v>
      </c>
    </row>
    <row r="33" spans="1:17" ht="15.95" customHeight="1" x14ac:dyDescent="0.3">
      <c r="A33" s="19">
        <v>50</v>
      </c>
      <c r="B33" s="32">
        <v>63</v>
      </c>
      <c r="C33" s="17" t="s">
        <v>22</v>
      </c>
      <c r="D33" s="16">
        <v>68</v>
      </c>
      <c r="E33" s="16">
        <f t="shared" si="1"/>
        <v>1462.0394947353138</v>
      </c>
      <c r="F33" s="16">
        <f t="shared" si="0"/>
        <v>987461846.8656013</v>
      </c>
      <c r="G33" s="16">
        <f t="shared" si="2"/>
        <v>11849542162.387215</v>
      </c>
      <c r="H33" s="16">
        <f t="shared" si="3"/>
        <v>1550</v>
      </c>
      <c r="I33" s="16">
        <f t="shared" si="4"/>
        <v>485010500</v>
      </c>
      <c r="J33" s="16">
        <f t="shared" si="5"/>
        <v>5820126000</v>
      </c>
      <c r="K33" s="16">
        <f>L32*0.04</f>
        <v>2155317595.1728616</v>
      </c>
      <c r="L33" s="18">
        <f>L32+J33+K33-G33</f>
        <v>50008841312.107185</v>
      </c>
      <c r="N33" s="9" t="s">
        <v>99</v>
      </c>
      <c r="O33" s="1">
        <v>19</v>
      </c>
      <c r="P33" s="1">
        <f>P32+O33-O28</f>
        <v>84</v>
      </c>
      <c r="Q33" s="1">
        <f t="shared" ref="Q33:Q92" si="10">SUM(O17:O33)</f>
        <v>217</v>
      </c>
    </row>
    <row r="34" spans="1:17" ht="15.95" customHeight="1" x14ac:dyDescent="0.3">
      <c r="A34" s="19">
        <v>49</v>
      </c>
      <c r="B34" s="32">
        <v>53</v>
      </c>
      <c r="C34" s="17" t="s">
        <v>23</v>
      </c>
      <c r="D34" s="16">
        <v>68</v>
      </c>
      <c r="E34" s="16">
        <f t="shared" si="1"/>
        <v>1486.7987048406076</v>
      </c>
      <c r="F34" s="16">
        <f t="shared" si="0"/>
        <v>1000249064.3882892</v>
      </c>
      <c r="G34" s="16">
        <f t="shared" si="2"/>
        <v>12002988772.65947</v>
      </c>
      <c r="H34" s="16">
        <f t="shared" si="3"/>
        <v>1536</v>
      </c>
      <c r="I34" s="16">
        <f t="shared" si="4"/>
        <v>480629760</v>
      </c>
      <c r="J34" s="16">
        <f t="shared" si="5"/>
        <v>5767557120</v>
      </c>
      <c r="K34" s="16">
        <f t="shared" ref="K34:K42" si="11">L33*0.04</f>
        <v>2000353652.4842875</v>
      </c>
      <c r="L34" s="18">
        <f t="shared" ref="L34:L56" si="12">L33+J34+K34-G34</f>
        <v>45773763311.932007</v>
      </c>
      <c r="N34" s="9" t="s">
        <v>100</v>
      </c>
      <c r="O34" s="1">
        <v>15</v>
      </c>
      <c r="P34" s="1">
        <f t="shared" ref="P34:P37" si="13">P33+O34-O29</f>
        <v>81</v>
      </c>
      <c r="Q34" s="1">
        <f t="shared" si="10"/>
        <v>229</v>
      </c>
    </row>
    <row r="35" spans="1:17" ht="15.95" customHeight="1" x14ac:dyDescent="0.3">
      <c r="A35" s="19">
        <v>48</v>
      </c>
      <c r="B35" s="32">
        <v>41</v>
      </c>
      <c r="C35" s="17" t="s">
        <v>24</v>
      </c>
      <c r="D35" s="16">
        <v>68</v>
      </c>
      <c r="E35" s="16">
        <f t="shared" si="1"/>
        <v>1513.0627307437953</v>
      </c>
      <c r="F35" s="16">
        <f t="shared" si="0"/>
        <v>1014414493.5155234</v>
      </c>
      <c r="G35" s="16">
        <f t="shared" si="2"/>
        <v>12172973922.186281</v>
      </c>
      <c r="H35" s="16">
        <f t="shared" si="3"/>
        <v>1520</v>
      </c>
      <c r="I35" s="16">
        <f t="shared" si="4"/>
        <v>475623200</v>
      </c>
      <c r="J35" s="16">
        <f t="shared" si="5"/>
        <v>5707478400</v>
      </c>
      <c r="K35" s="16">
        <f t="shared" si="11"/>
        <v>1830950532.4772804</v>
      </c>
      <c r="L35" s="18">
        <f t="shared" si="12"/>
        <v>41139218322.223007</v>
      </c>
      <c r="N35" s="9" t="s">
        <v>101</v>
      </c>
      <c r="O35" s="1">
        <v>11</v>
      </c>
      <c r="P35" s="1">
        <f t="shared" si="13"/>
        <v>78</v>
      </c>
      <c r="Q35" s="1">
        <f t="shared" si="10"/>
        <v>235</v>
      </c>
    </row>
    <row r="36" spans="1:17" ht="15.95" customHeight="1" x14ac:dyDescent="0.3">
      <c r="A36" s="19">
        <v>47</v>
      </c>
      <c r="B36" s="32">
        <v>44</v>
      </c>
      <c r="C36" s="17" t="s">
        <v>25</v>
      </c>
      <c r="D36" s="16">
        <v>68</v>
      </c>
      <c r="E36" s="16">
        <f t="shared" si="1"/>
        <v>1536.8014761289194</v>
      </c>
      <c r="F36" s="16">
        <f t="shared" si="0"/>
        <v>1027558027.3302128</v>
      </c>
      <c r="G36" s="16">
        <f t="shared" si="2"/>
        <v>12330696327.962555</v>
      </c>
      <c r="H36" s="16">
        <f t="shared" si="3"/>
        <v>1506</v>
      </c>
      <c r="I36" s="16">
        <f t="shared" si="4"/>
        <v>471242460</v>
      </c>
      <c r="J36" s="16">
        <f t="shared" si="5"/>
        <v>5654909520</v>
      </c>
      <c r="K36" s="16">
        <f t="shared" si="11"/>
        <v>1645568732.8889203</v>
      </c>
      <c r="L36" s="18">
        <f t="shared" si="12"/>
        <v>36109000247.149376</v>
      </c>
      <c r="N36" s="9" t="s">
        <v>102</v>
      </c>
      <c r="O36" s="1">
        <v>24</v>
      </c>
      <c r="P36" s="1">
        <f t="shared" si="13"/>
        <v>88</v>
      </c>
      <c r="Q36" s="1">
        <f t="shared" si="10"/>
        <v>252</v>
      </c>
    </row>
    <row r="37" spans="1:17" ht="15.95" customHeight="1" x14ac:dyDescent="0.3">
      <c r="A37" s="19">
        <v>46</v>
      </c>
      <c r="B37" s="32">
        <v>54</v>
      </c>
      <c r="C37" s="17" t="s">
        <v>26</v>
      </c>
      <c r="D37" s="16">
        <v>68</v>
      </c>
      <c r="E37" s="16">
        <f t="shared" si="1"/>
        <v>1548.0654466063411</v>
      </c>
      <c r="F37" s="16">
        <f t="shared" si="0"/>
        <v>1032323896.0236087</v>
      </c>
      <c r="G37" s="16">
        <f t="shared" si="2"/>
        <v>12387886752.283304</v>
      </c>
      <c r="H37" s="16">
        <f t="shared" si="3"/>
        <v>1504</v>
      </c>
      <c r="I37" s="16">
        <f t="shared" si="4"/>
        <v>470616640</v>
      </c>
      <c r="J37" s="16">
        <f t="shared" si="5"/>
        <v>5647399680</v>
      </c>
      <c r="K37" s="16">
        <f t="shared" si="11"/>
        <v>1444360009.8859751</v>
      </c>
      <c r="L37" s="18">
        <f t="shared" si="12"/>
        <v>30812873184.752052</v>
      </c>
      <c r="N37" s="9" t="s">
        <v>103</v>
      </c>
      <c r="O37" s="1">
        <v>20</v>
      </c>
      <c r="P37" s="1">
        <f t="shared" si="13"/>
        <v>89</v>
      </c>
      <c r="Q37" s="1">
        <f t="shared" si="10"/>
        <v>265</v>
      </c>
    </row>
    <row r="38" spans="1:17" ht="15.95" customHeight="1" x14ac:dyDescent="0.3">
      <c r="A38" s="19">
        <v>45</v>
      </c>
      <c r="B38" s="32">
        <v>56</v>
      </c>
      <c r="C38" s="17" t="s">
        <v>27</v>
      </c>
      <c r="D38" s="16">
        <v>68</v>
      </c>
      <c r="E38" s="16">
        <f t="shared" si="1"/>
        <v>1566.1041376742144</v>
      </c>
      <c r="F38" s="16">
        <f t="shared" si="0"/>
        <v>1042123686.9781365</v>
      </c>
      <c r="G38" s="16">
        <f t="shared" si="2"/>
        <v>12505484243.737638</v>
      </c>
      <c r="H38" s="16">
        <f t="shared" si="3"/>
        <v>1495</v>
      </c>
      <c r="I38" s="16">
        <f t="shared" si="4"/>
        <v>467800450</v>
      </c>
      <c r="J38" s="16">
        <f t="shared" si="5"/>
        <v>5613605400</v>
      </c>
      <c r="K38" s="16">
        <f t="shared" si="11"/>
        <v>1232514927.3900821</v>
      </c>
      <c r="L38" s="18">
        <f t="shared" si="12"/>
        <v>25153509268.404495</v>
      </c>
      <c r="N38" s="9" t="s">
        <v>104</v>
      </c>
      <c r="O38" s="1">
        <v>27</v>
      </c>
      <c r="P38" s="1">
        <f>P37+O38-O33</f>
        <v>97</v>
      </c>
      <c r="Q38" s="1">
        <f t="shared" si="10"/>
        <v>286</v>
      </c>
    </row>
    <row r="39" spans="1:17" ht="15.95" customHeight="1" x14ac:dyDescent="0.3">
      <c r="A39" s="19">
        <v>44</v>
      </c>
      <c r="B39" s="32">
        <v>54</v>
      </c>
      <c r="C39" s="17" t="s">
        <v>28</v>
      </c>
      <c r="D39" s="16">
        <v>68</v>
      </c>
      <c r="E39" s="16">
        <f t="shared" si="1"/>
        <v>1561.7820549207302</v>
      </c>
      <c r="F39" s="16">
        <f t="shared" si="0"/>
        <v>1035457025.748574</v>
      </c>
      <c r="G39" s="16">
        <f t="shared" si="2"/>
        <v>12425484308.982887</v>
      </c>
      <c r="H39" s="16">
        <f t="shared" si="3"/>
        <v>1508</v>
      </c>
      <c r="I39" s="16">
        <f t="shared" si="4"/>
        <v>471868280</v>
      </c>
      <c r="J39" s="16">
        <f t="shared" si="5"/>
        <v>5662419360</v>
      </c>
      <c r="K39" s="16">
        <f t="shared" si="11"/>
        <v>1006140370.7361798</v>
      </c>
      <c r="L39" s="18">
        <f t="shared" si="12"/>
        <v>19396584690.157787</v>
      </c>
      <c r="N39" s="9" t="s">
        <v>105</v>
      </c>
      <c r="O39" s="1">
        <v>24</v>
      </c>
      <c r="P39" s="1">
        <f t="shared" ref="P39:P92" si="14">P38+O39-O34</f>
        <v>106</v>
      </c>
      <c r="Q39" s="1">
        <f t="shared" si="10"/>
        <v>297</v>
      </c>
    </row>
    <row r="40" spans="1:17" ht="15.95" customHeight="1" x14ac:dyDescent="0.3">
      <c r="A40" s="19">
        <v>43</v>
      </c>
      <c r="B40" s="32">
        <v>42</v>
      </c>
      <c r="C40" s="17" t="s">
        <v>29</v>
      </c>
      <c r="D40" s="16">
        <v>68</v>
      </c>
      <c r="E40" s="16">
        <f t="shared" si="1"/>
        <v>1561.5464138223156</v>
      </c>
      <c r="F40" s="16">
        <f t="shared" si="0"/>
        <v>1032644124.0586026</v>
      </c>
      <c r="G40" s="16">
        <f t="shared" si="2"/>
        <v>12391729488.703232</v>
      </c>
      <c r="H40" s="16">
        <f t="shared" si="3"/>
        <v>1517</v>
      </c>
      <c r="I40" s="16">
        <f t="shared" si="4"/>
        <v>474684470</v>
      </c>
      <c r="J40" s="16">
        <f t="shared" si="5"/>
        <v>5696213640</v>
      </c>
      <c r="K40" s="16">
        <f t="shared" si="11"/>
        <v>775863387.60631156</v>
      </c>
      <c r="L40" s="18">
        <f t="shared" si="12"/>
        <v>13476932229.060867</v>
      </c>
      <c r="N40" s="9" t="s">
        <v>106</v>
      </c>
      <c r="O40" s="1">
        <v>28</v>
      </c>
      <c r="P40" s="1">
        <f t="shared" si="14"/>
        <v>123</v>
      </c>
      <c r="Q40" s="1">
        <f t="shared" si="10"/>
        <v>315</v>
      </c>
    </row>
    <row r="41" spans="1:17" ht="15.95" customHeight="1" x14ac:dyDescent="0.3">
      <c r="A41" s="19">
        <v>42</v>
      </c>
      <c r="B41" s="32">
        <v>49</v>
      </c>
      <c r="C41" s="17" t="s">
        <v>30</v>
      </c>
      <c r="D41" s="16">
        <v>68</v>
      </c>
      <c r="E41" s="16">
        <f t="shared" si="1"/>
        <v>1562.3154855458693</v>
      </c>
      <c r="F41" s="16">
        <f t="shared" si="0"/>
        <v>1028980222.4574304</v>
      </c>
      <c r="G41" s="16">
        <f t="shared" si="2"/>
        <v>12347762669.489164</v>
      </c>
      <c r="H41" s="16">
        <f t="shared" si="3"/>
        <v>1525</v>
      </c>
      <c r="I41" s="16">
        <f t="shared" si="4"/>
        <v>477187750</v>
      </c>
      <c r="J41" s="16">
        <f t="shared" si="5"/>
        <v>5726253000</v>
      </c>
      <c r="K41" s="16">
        <f t="shared" si="11"/>
        <v>539077289.1624347</v>
      </c>
      <c r="L41" s="18">
        <f t="shared" si="12"/>
        <v>7394499848.7341366</v>
      </c>
      <c r="N41" s="9" t="s">
        <v>107</v>
      </c>
      <c r="O41" s="1">
        <v>29</v>
      </c>
      <c r="P41" s="1">
        <f t="shared" si="14"/>
        <v>128</v>
      </c>
      <c r="Q41" s="1">
        <f t="shared" si="10"/>
        <v>330</v>
      </c>
    </row>
    <row r="42" spans="1:17" ht="15.95" customHeight="1" x14ac:dyDescent="0.3">
      <c r="A42" s="19">
        <v>41</v>
      </c>
      <c r="B42" s="32">
        <v>27</v>
      </c>
      <c r="C42" s="17" t="s">
        <v>31</v>
      </c>
      <c r="D42" s="16">
        <v>68</v>
      </c>
      <c r="E42" s="16">
        <f t="shared" si="1"/>
        <v>1561.0691758349519</v>
      </c>
      <c r="F42" s="16">
        <f t="shared" si="0"/>
        <v>1026790981.7582819</v>
      </c>
      <c r="G42" s="16">
        <f t="shared" si="2"/>
        <v>12321491781.099384</v>
      </c>
      <c r="H42" s="16">
        <f t="shared" si="3"/>
        <v>1535</v>
      </c>
      <c r="I42" s="16">
        <f t="shared" si="4"/>
        <v>480316850</v>
      </c>
      <c r="J42" s="16">
        <f t="shared" si="5"/>
        <v>5763802200</v>
      </c>
      <c r="K42" s="16">
        <f t="shared" si="11"/>
        <v>295779993.9493655</v>
      </c>
      <c r="L42" s="18">
        <f t="shared" si="12"/>
        <v>1132590261.5841179</v>
      </c>
      <c r="N42" s="9" t="s">
        <v>108</v>
      </c>
      <c r="O42" s="1">
        <v>39</v>
      </c>
      <c r="P42" s="1">
        <f t="shared" si="14"/>
        <v>147</v>
      </c>
      <c r="Q42" s="1">
        <f t="shared" si="10"/>
        <v>348</v>
      </c>
    </row>
    <row r="43" spans="1:17" ht="15.95" customHeight="1" x14ac:dyDescent="0.3">
      <c r="A43" s="28">
        <v>40</v>
      </c>
      <c r="B43" s="33">
        <v>31</v>
      </c>
      <c r="C43" s="29" t="s">
        <v>32</v>
      </c>
      <c r="D43" s="30">
        <v>68</v>
      </c>
      <c r="E43" s="30">
        <f t="shared" si="1"/>
        <v>1558.8477923182529</v>
      </c>
      <c r="F43" s="30">
        <f t="shared" si="0"/>
        <v>1024062978.5931163</v>
      </c>
      <c r="G43" s="30">
        <f t="shared" si="2"/>
        <v>12288755743.117395</v>
      </c>
      <c r="H43" s="30">
        <f t="shared" si="3"/>
        <v>1546</v>
      </c>
      <c r="I43" s="30">
        <f t="shared" si="4"/>
        <v>483758860</v>
      </c>
      <c r="J43" s="30">
        <f t="shared" si="5"/>
        <v>5805106320</v>
      </c>
      <c r="K43" s="30"/>
      <c r="L43" s="31">
        <f t="shared" si="12"/>
        <v>-5351059161.5332775</v>
      </c>
      <c r="N43" s="9" t="s">
        <v>109</v>
      </c>
      <c r="O43" s="1">
        <v>41</v>
      </c>
      <c r="P43" s="1">
        <f t="shared" si="14"/>
        <v>161</v>
      </c>
      <c r="Q43" s="1">
        <f t="shared" si="10"/>
        <v>375</v>
      </c>
    </row>
    <row r="44" spans="1:17" ht="15.95" customHeight="1" x14ac:dyDescent="0.3">
      <c r="A44" s="19">
        <v>39</v>
      </c>
      <c r="B44" s="32">
        <v>32</v>
      </c>
      <c r="C44" s="17" t="s">
        <v>33</v>
      </c>
      <c r="D44" s="16">
        <v>68</v>
      </c>
      <c r="E44" s="16">
        <f t="shared" si="1"/>
        <v>1548.6708364718879</v>
      </c>
      <c r="F44" s="16">
        <f t="shared" si="0"/>
        <v>1015312170.436254</v>
      </c>
      <c r="G44" s="16">
        <f t="shared" si="2"/>
        <v>12183746045.235048</v>
      </c>
      <c r="H44" s="16">
        <f t="shared" si="3"/>
        <v>1565</v>
      </c>
      <c r="I44" s="16">
        <f t="shared" si="4"/>
        <v>489704150</v>
      </c>
      <c r="J44" s="16">
        <f t="shared" si="5"/>
        <v>5876449800</v>
      </c>
      <c r="K44" s="16"/>
      <c r="L44" s="18">
        <f t="shared" si="12"/>
        <v>-11658355406.768326</v>
      </c>
      <c r="N44" s="9" t="s">
        <v>110</v>
      </c>
      <c r="O44" s="1">
        <v>28</v>
      </c>
      <c r="P44" s="1">
        <f t="shared" si="14"/>
        <v>165</v>
      </c>
      <c r="Q44" s="1">
        <f t="shared" si="10"/>
        <v>388</v>
      </c>
    </row>
    <row r="45" spans="1:17" ht="15.95" customHeight="1" x14ac:dyDescent="0.3">
      <c r="A45" s="19">
        <v>38</v>
      </c>
      <c r="B45" s="32">
        <v>30</v>
      </c>
      <c r="C45" s="17" t="s">
        <v>34</v>
      </c>
      <c r="D45" s="16">
        <v>68</v>
      </c>
      <c r="E45" s="16">
        <f t="shared" si="1"/>
        <v>1536.6974197424502</v>
      </c>
      <c r="F45" s="16">
        <f t="shared" si="0"/>
        <v>1004632075.0025289</v>
      </c>
      <c r="G45" s="16">
        <f t="shared" si="2"/>
        <v>12055584900.030346</v>
      </c>
      <c r="H45" s="16">
        <f t="shared" si="3"/>
        <v>1586</v>
      </c>
      <c r="I45" s="16">
        <f t="shared" si="4"/>
        <v>496275260</v>
      </c>
      <c r="J45" s="16">
        <f t="shared" si="5"/>
        <v>5955303120</v>
      </c>
      <c r="K45" s="16"/>
      <c r="L45" s="18">
        <f t="shared" si="12"/>
        <v>-17758637186.798672</v>
      </c>
      <c r="N45" s="9" t="s">
        <v>111</v>
      </c>
      <c r="O45" s="1">
        <v>45</v>
      </c>
      <c r="P45" s="1">
        <f t="shared" si="14"/>
        <v>182</v>
      </c>
      <c r="Q45" s="1">
        <f t="shared" si="10"/>
        <v>415</v>
      </c>
    </row>
    <row r="46" spans="1:17" ht="15.95" customHeight="1" x14ac:dyDescent="0.3">
      <c r="A46" s="19">
        <v>37</v>
      </c>
      <c r="B46" s="32">
        <v>29</v>
      </c>
      <c r="C46" s="17" t="s">
        <v>35</v>
      </c>
      <c r="D46" s="16">
        <v>68</v>
      </c>
      <c r="E46" s="16">
        <f t="shared" si="1"/>
        <v>1532.9634713476012</v>
      </c>
      <c r="F46" s="16">
        <f t="shared" si="0"/>
        <v>999591296.06747842</v>
      </c>
      <c r="G46" s="16">
        <f t="shared" si="2"/>
        <v>11995095552.809742</v>
      </c>
      <c r="H46" s="16">
        <f t="shared" si="3"/>
        <v>1599</v>
      </c>
      <c r="I46" s="16">
        <f t="shared" si="4"/>
        <v>500343090</v>
      </c>
      <c r="J46" s="16">
        <f t="shared" si="5"/>
        <v>6004117080</v>
      </c>
      <c r="K46" s="16"/>
      <c r="L46" s="18">
        <f t="shared" si="12"/>
        <v>-23749615659.608414</v>
      </c>
      <c r="N46" s="9" t="s">
        <v>112</v>
      </c>
      <c r="O46" s="1">
        <v>39</v>
      </c>
      <c r="P46" s="1">
        <f t="shared" si="14"/>
        <v>192</v>
      </c>
      <c r="Q46" s="1">
        <f t="shared" si="10"/>
        <v>436</v>
      </c>
    </row>
    <row r="47" spans="1:17" ht="15.95" customHeight="1" x14ac:dyDescent="0.3">
      <c r="A47" s="19">
        <v>36</v>
      </c>
      <c r="B47" s="32">
        <v>21</v>
      </c>
      <c r="C47" s="17" t="s">
        <v>36</v>
      </c>
      <c r="D47" s="16">
        <v>68</v>
      </c>
      <c r="E47" s="16">
        <f t="shared" si="1"/>
        <v>1513.3042019206491</v>
      </c>
      <c r="F47" s="16">
        <f t="shared" si="0"/>
        <v>985020726.46612883</v>
      </c>
      <c r="G47" s="16">
        <f t="shared" si="2"/>
        <v>11820248717.593546</v>
      </c>
      <c r="H47" s="16">
        <f t="shared" si="3"/>
        <v>1628</v>
      </c>
      <c r="I47" s="16">
        <f t="shared" si="4"/>
        <v>509417480</v>
      </c>
      <c r="J47" s="16">
        <f t="shared" si="5"/>
        <v>6113009760</v>
      </c>
      <c r="K47" s="16"/>
      <c r="L47" s="18">
        <f t="shared" si="12"/>
        <v>-29456854617.201958</v>
      </c>
      <c r="N47" s="9" t="s">
        <v>113</v>
      </c>
      <c r="O47" s="1">
        <v>41</v>
      </c>
      <c r="P47" s="1">
        <f t="shared" si="14"/>
        <v>194</v>
      </c>
      <c r="Q47" s="1">
        <f t="shared" si="10"/>
        <v>463</v>
      </c>
    </row>
    <row r="48" spans="1:17" ht="15.95" customHeight="1" x14ac:dyDescent="0.3">
      <c r="A48" s="19">
        <v>35</v>
      </c>
      <c r="B48" s="32">
        <v>19</v>
      </c>
      <c r="C48" s="17" t="s">
        <v>37</v>
      </c>
      <c r="D48" s="16">
        <v>68</v>
      </c>
      <c r="E48" s="16">
        <f t="shared" si="1"/>
        <v>1491.0381178822361</v>
      </c>
      <c r="F48" s="16">
        <f t="shared" si="0"/>
        <v>971856878.80180621</v>
      </c>
      <c r="G48" s="16">
        <f t="shared" si="2"/>
        <v>11662282545.621674</v>
      </c>
      <c r="H48" s="16">
        <f t="shared" si="3"/>
        <v>1660</v>
      </c>
      <c r="I48" s="16">
        <f t="shared" si="4"/>
        <v>519430600</v>
      </c>
      <c r="J48" s="16">
        <f t="shared" si="5"/>
        <v>6233167200</v>
      </c>
      <c r="K48" s="16"/>
      <c r="L48" s="18">
        <f t="shared" si="12"/>
        <v>-34885969962.823631</v>
      </c>
      <c r="N48" s="9" t="s">
        <v>1</v>
      </c>
      <c r="O48" s="1">
        <f>B15</f>
        <v>39</v>
      </c>
      <c r="P48" s="1">
        <f t="shared" si="14"/>
        <v>192</v>
      </c>
      <c r="Q48" s="1">
        <f t="shared" si="10"/>
        <v>488</v>
      </c>
    </row>
    <row r="49" spans="1:17" ht="15.95" customHeight="1" x14ac:dyDescent="0.3">
      <c r="A49" s="19">
        <v>34</v>
      </c>
      <c r="B49" s="32">
        <v>27</v>
      </c>
      <c r="C49" s="17" t="s">
        <v>38</v>
      </c>
      <c r="D49" s="16">
        <v>68</v>
      </c>
      <c r="E49" s="16">
        <f t="shared" si="1"/>
        <v>1484.2173555245913</v>
      </c>
      <c r="F49" s="16">
        <f t="shared" si="0"/>
        <v>968646357.93577003</v>
      </c>
      <c r="G49" s="16">
        <f t="shared" si="2"/>
        <v>11623756295.22924</v>
      </c>
      <c r="H49" s="16">
        <f t="shared" si="3"/>
        <v>1677</v>
      </c>
      <c r="I49" s="16">
        <f t="shared" si="4"/>
        <v>524750070</v>
      </c>
      <c r="J49" s="16">
        <f t="shared" si="5"/>
        <v>6297000840</v>
      </c>
      <c r="K49" s="16"/>
      <c r="L49" s="18">
        <f t="shared" si="12"/>
        <v>-40212725418.052872</v>
      </c>
      <c r="N49" s="9" t="s">
        <v>2</v>
      </c>
      <c r="O49" s="1">
        <f>B16</f>
        <v>38</v>
      </c>
      <c r="P49" s="1">
        <f t="shared" si="14"/>
        <v>202</v>
      </c>
      <c r="Q49" s="1">
        <f t="shared" si="10"/>
        <v>507</v>
      </c>
    </row>
    <row r="50" spans="1:17" ht="15.95" customHeight="1" x14ac:dyDescent="0.3">
      <c r="A50" s="19">
        <v>33</v>
      </c>
      <c r="B50" s="32">
        <v>11</v>
      </c>
      <c r="C50" s="17" t="s">
        <v>39</v>
      </c>
      <c r="D50" s="16">
        <v>68</v>
      </c>
      <c r="E50" s="16">
        <f t="shared" si="1"/>
        <v>1471.5330084140994</v>
      </c>
      <c r="F50" s="16">
        <f t="shared" si="0"/>
        <v>963010846.73705459</v>
      </c>
      <c r="G50" s="16">
        <f t="shared" si="2"/>
        <v>11556130160.844654</v>
      </c>
      <c r="H50" s="16">
        <f t="shared" si="3"/>
        <v>1700</v>
      </c>
      <c r="I50" s="16">
        <f t="shared" si="4"/>
        <v>531947000</v>
      </c>
      <c r="J50" s="16">
        <f t="shared" si="5"/>
        <v>6383364000</v>
      </c>
      <c r="K50" s="16"/>
      <c r="L50" s="18">
        <f t="shared" si="12"/>
        <v>-45385491578.897522</v>
      </c>
      <c r="N50" s="9" t="s">
        <v>3</v>
      </c>
      <c r="O50" s="1">
        <f t="shared" ref="O50:O92" si="15">B17</f>
        <v>54</v>
      </c>
      <c r="P50" s="1">
        <f t="shared" si="14"/>
        <v>211</v>
      </c>
      <c r="Q50" s="1">
        <f t="shared" si="10"/>
        <v>542</v>
      </c>
    </row>
    <row r="51" spans="1:17" ht="15.95" customHeight="1" x14ac:dyDescent="0.3">
      <c r="A51" s="19">
        <v>32</v>
      </c>
      <c r="B51" s="32">
        <v>8</v>
      </c>
      <c r="C51" s="17" t="s">
        <v>40</v>
      </c>
      <c r="D51" s="16">
        <v>68</v>
      </c>
      <c r="E51" s="16">
        <f t="shared" si="1"/>
        <v>1449.1023482458174</v>
      </c>
      <c r="F51" s="16">
        <f t="shared" si="0"/>
        <v>948535839.60231352</v>
      </c>
      <c r="G51" s="16">
        <f t="shared" si="2"/>
        <v>11382430075.227762</v>
      </c>
      <c r="H51" s="16">
        <f t="shared" si="3"/>
        <v>1733</v>
      </c>
      <c r="I51" s="16">
        <f t="shared" si="4"/>
        <v>542273030</v>
      </c>
      <c r="J51" s="16">
        <f t="shared" si="5"/>
        <v>6507276360</v>
      </c>
      <c r="K51" s="16"/>
      <c r="L51" s="18">
        <f t="shared" si="12"/>
        <v>-50260645294.125282</v>
      </c>
      <c r="N51" s="9" t="s">
        <v>4</v>
      </c>
      <c r="O51" s="1">
        <f t="shared" si="15"/>
        <v>72</v>
      </c>
      <c r="P51" s="1">
        <f t="shared" si="14"/>
        <v>244</v>
      </c>
      <c r="Q51" s="1">
        <f t="shared" si="10"/>
        <v>599</v>
      </c>
    </row>
    <row r="52" spans="1:17" ht="15.95" customHeight="1" x14ac:dyDescent="0.3">
      <c r="A52" s="19">
        <v>31</v>
      </c>
      <c r="B52" s="32">
        <v>23</v>
      </c>
      <c r="C52" s="17" t="s">
        <v>41</v>
      </c>
      <c r="D52" s="16">
        <v>68</v>
      </c>
      <c r="E52" s="16">
        <f t="shared" si="1"/>
        <v>1425.120301280901</v>
      </c>
      <c r="F52" s="16">
        <f t="shared" si="0"/>
        <v>933576822.76526713</v>
      </c>
      <c r="G52" s="16">
        <f t="shared" si="2"/>
        <v>11202921873.183205</v>
      </c>
      <c r="H52" s="16">
        <f t="shared" si="3"/>
        <v>1768</v>
      </c>
      <c r="I52" s="16">
        <f t="shared" si="4"/>
        <v>553224880</v>
      </c>
      <c r="J52" s="16">
        <f t="shared" si="5"/>
        <v>6638698560</v>
      </c>
      <c r="K52" s="16"/>
      <c r="L52" s="18">
        <f t="shared" si="12"/>
        <v>-54824868607.308487</v>
      </c>
      <c r="N52" s="9" t="s">
        <v>5</v>
      </c>
      <c r="O52" s="1">
        <f t="shared" si="15"/>
        <v>64</v>
      </c>
      <c r="P52" s="1">
        <f t="shared" si="14"/>
        <v>267</v>
      </c>
      <c r="Q52" s="1">
        <f t="shared" si="10"/>
        <v>652</v>
      </c>
    </row>
    <row r="53" spans="1:17" ht="15.95" customHeight="1" x14ac:dyDescent="0.3">
      <c r="A53" s="19">
        <v>30</v>
      </c>
      <c r="B53" s="32">
        <v>17</v>
      </c>
      <c r="C53" s="17" t="s">
        <v>42</v>
      </c>
      <c r="D53" s="16">
        <v>68</v>
      </c>
      <c r="E53" s="16">
        <f t="shared" si="1"/>
        <v>1396.617895255283</v>
      </c>
      <c r="F53" s="16">
        <f t="shared" si="0"/>
        <v>914070103.72996175</v>
      </c>
      <c r="G53" s="16">
        <f t="shared" si="2"/>
        <v>10968841244.759541</v>
      </c>
      <c r="H53" s="16">
        <f t="shared" si="3"/>
        <v>1808</v>
      </c>
      <c r="I53" s="16">
        <f t="shared" si="4"/>
        <v>565741280</v>
      </c>
      <c r="J53" s="16">
        <f t="shared" si="5"/>
        <v>6788895360</v>
      </c>
      <c r="K53" s="16"/>
      <c r="L53" s="18">
        <f t="shared" si="12"/>
        <v>-59004814492.068024</v>
      </c>
      <c r="N53" s="9" t="s">
        <v>6</v>
      </c>
      <c r="O53" s="1">
        <f t="shared" si="15"/>
        <v>70</v>
      </c>
      <c r="P53" s="1">
        <f t="shared" si="14"/>
        <v>298</v>
      </c>
      <c r="Q53" s="1">
        <f t="shared" si="10"/>
        <v>698</v>
      </c>
    </row>
    <row r="54" spans="1:17" ht="15.95" customHeight="1" x14ac:dyDescent="0.25">
      <c r="A54" s="19">
        <v>29</v>
      </c>
      <c r="B54" s="4">
        <v>7</v>
      </c>
      <c r="C54" s="17" t="s">
        <v>43</v>
      </c>
      <c r="D54" s="16">
        <v>68</v>
      </c>
      <c r="E54" s="16">
        <f t="shared" si="1"/>
        <v>1371.6855373501774</v>
      </c>
      <c r="F54" s="16">
        <f t="shared" si="0"/>
        <v>897699070.35036254</v>
      </c>
      <c r="G54" s="16">
        <f t="shared" si="2"/>
        <v>10772388844.20435</v>
      </c>
      <c r="H54" s="16">
        <f t="shared" si="3"/>
        <v>1845</v>
      </c>
      <c r="I54" s="16">
        <f t="shared" si="4"/>
        <v>577318950</v>
      </c>
      <c r="J54" s="16">
        <f t="shared" si="5"/>
        <v>6927827400</v>
      </c>
      <c r="K54" s="16"/>
      <c r="L54" s="18">
        <f t="shared" si="12"/>
        <v>-62849375936.272369</v>
      </c>
      <c r="N54" s="9" t="s">
        <v>7</v>
      </c>
      <c r="O54" s="1">
        <f t="shared" si="15"/>
        <v>59</v>
      </c>
      <c r="P54" s="1">
        <f t="shared" si="14"/>
        <v>319</v>
      </c>
      <c r="Q54" s="1">
        <f t="shared" si="10"/>
        <v>737</v>
      </c>
    </row>
    <row r="55" spans="1:17" ht="15.95" customHeight="1" x14ac:dyDescent="0.25">
      <c r="A55" s="19">
        <v>28</v>
      </c>
      <c r="B55" s="4">
        <v>5</v>
      </c>
      <c r="C55" s="17" t="s">
        <v>44</v>
      </c>
      <c r="D55" s="16">
        <v>68</v>
      </c>
      <c r="E55" s="16">
        <f t="shared" si="1"/>
        <v>1344.2518266031739</v>
      </c>
      <c r="F55" s="16">
        <f t="shared" si="0"/>
        <v>880992661.49835527</v>
      </c>
      <c r="G55" s="16">
        <f t="shared" si="2"/>
        <v>10571911937.980263</v>
      </c>
      <c r="H55" s="16">
        <f t="shared" si="3"/>
        <v>1885</v>
      </c>
      <c r="I55" s="16">
        <f t="shared" si="4"/>
        <v>589835350</v>
      </c>
      <c r="J55" s="16">
        <f t="shared" si="5"/>
        <v>7078024200</v>
      </c>
      <c r="K55" s="16"/>
      <c r="L55" s="18">
        <f t="shared" si="12"/>
        <v>-66343263674.252632</v>
      </c>
      <c r="N55" s="9" t="s">
        <v>8</v>
      </c>
      <c r="O55" s="1">
        <f t="shared" si="15"/>
        <v>65</v>
      </c>
      <c r="P55" s="1">
        <f t="shared" si="14"/>
        <v>330</v>
      </c>
      <c r="Q55" s="1">
        <f t="shared" si="10"/>
        <v>775</v>
      </c>
    </row>
    <row r="56" spans="1:17" ht="15.95" customHeight="1" x14ac:dyDescent="0.25">
      <c r="A56" s="20">
        <v>27</v>
      </c>
      <c r="B56" s="21">
        <v>0</v>
      </c>
      <c r="C56" s="22" t="s">
        <v>45</v>
      </c>
      <c r="D56" s="23">
        <v>68</v>
      </c>
      <c r="E56" s="23">
        <f t="shared" si="1"/>
        <v>1317.3667900711105</v>
      </c>
      <c r="F56" s="23">
        <f t="shared" si="0"/>
        <v>866923077.27838826</v>
      </c>
      <c r="G56" s="23">
        <f t="shared" si="2"/>
        <v>10403076927.34066</v>
      </c>
      <c r="H56" s="23">
        <f t="shared" si="3"/>
        <v>1925</v>
      </c>
      <c r="I56" s="23">
        <f t="shared" si="4"/>
        <v>602351750</v>
      </c>
      <c r="J56" s="23">
        <f t="shared" si="5"/>
        <v>7228221000</v>
      </c>
      <c r="K56" s="23"/>
      <c r="L56" s="24">
        <f t="shared" si="12"/>
        <v>-69518119601.593292</v>
      </c>
      <c r="N56" s="9" t="s">
        <v>9</v>
      </c>
      <c r="O56" s="1">
        <f t="shared" si="15"/>
        <v>49</v>
      </c>
      <c r="P56" s="1">
        <f t="shared" si="14"/>
        <v>307</v>
      </c>
      <c r="Q56" s="1">
        <f t="shared" si="10"/>
        <v>800</v>
      </c>
    </row>
    <row r="57" spans="1:17" ht="15.95" customHeight="1" x14ac:dyDescent="0.3">
      <c r="B57" s="1">
        <v>3</v>
      </c>
      <c r="N57" s="9" t="s">
        <v>10</v>
      </c>
      <c r="O57" s="1">
        <f t="shared" si="15"/>
        <v>55</v>
      </c>
      <c r="P57" s="1">
        <f t="shared" si="14"/>
        <v>298</v>
      </c>
      <c r="Q57" s="1">
        <f t="shared" si="10"/>
        <v>827</v>
      </c>
    </row>
    <row r="58" spans="1:17" ht="15.95" customHeight="1" x14ac:dyDescent="0.3">
      <c r="N58" s="9" t="s">
        <v>11</v>
      </c>
      <c r="O58" s="1">
        <f t="shared" si="15"/>
        <v>56</v>
      </c>
      <c r="P58" s="1">
        <f t="shared" si="14"/>
        <v>284</v>
      </c>
      <c r="Q58" s="1">
        <f t="shared" si="10"/>
        <v>854</v>
      </c>
    </row>
    <row r="59" spans="1:17" ht="15.95" customHeight="1" x14ac:dyDescent="0.3">
      <c r="N59" s="9" t="s">
        <v>12</v>
      </c>
      <c r="O59" s="1">
        <f t="shared" si="15"/>
        <v>76</v>
      </c>
      <c r="P59" s="1">
        <f t="shared" si="14"/>
        <v>301</v>
      </c>
      <c r="Q59" s="1">
        <f t="shared" si="10"/>
        <v>891</v>
      </c>
    </row>
    <row r="60" spans="1:17" ht="15.95" customHeight="1" x14ac:dyDescent="0.3">
      <c r="N60" s="9" t="s">
        <v>13</v>
      </c>
      <c r="O60" s="1">
        <f t="shared" si="15"/>
        <v>80</v>
      </c>
      <c r="P60" s="1">
        <f t="shared" si="14"/>
        <v>316</v>
      </c>
      <c r="Q60" s="1">
        <f t="shared" si="10"/>
        <v>930</v>
      </c>
    </row>
    <row r="61" spans="1:17" ht="15.95" customHeight="1" x14ac:dyDescent="0.3">
      <c r="N61" s="9" t="s">
        <v>14</v>
      </c>
      <c r="O61" s="1">
        <f t="shared" si="15"/>
        <v>72</v>
      </c>
      <c r="P61" s="1">
        <f t="shared" si="14"/>
        <v>339</v>
      </c>
      <c r="Q61" s="1">
        <f t="shared" si="10"/>
        <v>974</v>
      </c>
    </row>
    <row r="62" spans="1:17" ht="15.95" customHeight="1" x14ac:dyDescent="0.3">
      <c r="N62" s="9" t="s">
        <v>15</v>
      </c>
      <c r="O62" s="1">
        <f t="shared" si="15"/>
        <v>63</v>
      </c>
      <c r="P62" s="1">
        <f t="shared" si="14"/>
        <v>347</v>
      </c>
      <c r="Q62" s="1">
        <f t="shared" si="10"/>
        <v>992</v>
      </c>
    </row>
    <row r="63" spans="1:17" ht="15.95" customHeight="1" x14ac:dyDescent="0.3">
      <c r="N63" s="9" t="s">
        <v>16</v>
      </c>
      <c r="O63" s="1">
        <f t="shared" si="15"/>
        <v>64</v>
      </c>
      <c r="P63" s="1">
        <f t="shared" si="14"/>
        <v>355</v>
      </c>
      <c r="Q63" s="1">
        <f t="shared" si="10"/>
        <v>1017</v>
      </c>
    </row>
    <row r="64" spans="1:17" ht="15.95" customHeight="1" x14ac:dyDescent="0.3">
      <c r="N64" s="9" t="s">
        <v>17</v>
      </c>
      <c r="O64" s="1">
        <f t="shared" si="15"/>
        <v>67</v>
      </c>
      <c r="P64" s="1">
        <f t="shared" si="14"/>
        <v>346</v>
      </c>
      <c r="Q64" s="1">
        <f t="shared" si="10"/>
        <v>1043</v>
      </c>
    </row>
    <row r="65" spans="14:17" ht="15.95" customHeight="1" x14ac:dyDescent="0.3">
      <c r="N65" s="9" t="s">
        <v>18</v>
      </c>
      <c r="O65" s="1">
        <f t="shared" si="15"/>
        <v>57</v>
      </c>
      <c r="P65" s="1">
        <f t="shared" si="14"/>
        <v>323</v>
      </c>
      <c r="Q65" s="1">
        <f t="shared" si="10"/>
        <v>1061</v>
      </c>
    </row>
    <row r="66" spans="14:17" ht="15.95" customHeight="1" x14ac:dyDescent="0.3">
      <c r="N66" s="9" t="s">
        <v>19</v>
      </c>
      <c r="O66" s="1">
        <f t="shared" si="15"/>
        <v>63</v>
      </c>
      <c r="P66" s="1">
        <f t="shared" si="14"/>
        <v>314</v>
      </c>
      <c r="Q66" s="1">
        <f t="shared" si="10"/>
        <v>1086</v>
      </c>
    </row>
    <row r="67" spans="14:17" ht="15.95" customHeight="1" x14ac:dyDescent="0.3">
      <c r="N67" s="9" t="s">
        <v>20</v>
      </c>
      <c r="O67" s="1">
        <f t="shared" si="15"/>
        <v>53</v>
      </c>
      <c r="P67" s="1">
        <f t="shared" si="14"/>
        <v>304</v>
      </c>
      <c r="Q67" s="1">
        <f t="shared" si="10"/>
        <v>1085</v>
      </c>
    </row>
    <row r="68" spans="14:17" ht="15.95" customHeight="1" x14ac:dyDescent="0.3">
      <c r="N68" s="9" t="s">
        <v>21</v>
      </c>
      <c r="O68" s="1">
        <f t="shared" si="15"/>
        <v>41</v>
      </c>
      <c r="P68" s="1">
        <f t="shared" si="14"/>
        <v>281</v>
      </c>
      <c r="Q68" s="1">
        <f t="shared" si="10"/>
        <v>1054</v>
      </c>
    </row>
    <row r="69" spans="14:17" ht="15.95" customHeight="1" x14ac:dyDescent="0.3">
      <c r="N69" s="9" t="s">
        <v>22</v>
      </c>
      <c r="O69" s="1">
        <f t="shared" si="15"/>
        <v>44</v>
      </c>
      <c r="P69" s="1">
        <f t="shared" si="14"/>
        <v>258</v>
      </c>
      <c r="Q69" s="1">
        <f t="shared" si="10"/>
        <v>1034</v>
      </c>
    </row>
    <row r="70" spans="14:17" ht="15.95" customHeight="1" x14ac:dyDescent="0.3">
      <c r="N70" s="9" t="s">
        <v>23</v>
      </c>
      <c r="O70" s="1">
        <f t="shared" si="15"/>
        <v>54</v>
      </c>
      <c r="P70" s="1">
        <f t="shared" si="14"/>
        <v>255</v>
      </c>
      <c r="Q70" s="1">
        <f t="shared" si="10"/>
        <v>1018</v>
      </c>
    </row>
    <row r="71" spans="14:17" ht="15.95" customHeight="1" x14ac:dyDescent="0.3">
      <c r="N71" s="9" t="s">
        <v>24</v>
      </c>
      <c r="O71" s="1">
        <f t="shared" si="15"/>
        <v>56</v>
      </c>
      <c r="P71" s="1">
        <f t="shared" si="14"/>
        <v>248</v>
      </c>
      <c r="Q71" s="1">
        <f t="shared" si="10"/>
        <v>1015</v>
      </c>
    </row>
    <row r="72" spans="14:17" ht="15.95" customHeight="1" x14ac:dyDescent="0.3">
      <c r="N72" s="9" t="s">
        <v>25</v>
      </c>
      <c r="O72" s="1">
        <f t="shared" si="15"/>
        <v>54</v>
      </c>
      <c r="P72" s="1">
        <f t="shared" si="14"/>
        <v>249</v>
      </c>
      <c r="Q72" s="1">
        <f t="shared" si="10"/>
        <v>1004</v>
      </c>
    </row>
    <row r="73" spans="14:17" ht="15.95" customHeight="1" x14ac:dyDescent="0.3">
      <c r="N73" s="9" t="s">
        <v>26</v>
      </c>
      <c r="O73" s="1">
        <f t="shared" si="15"/>
        <v>42</v>
      </c>
      <c r="P73" s="1">
        <f t="shared" si="14"/>
        <v>250</v>
      </c>
      <c r="Q73" s="1">
        <f t="shared" si="10"/>
        <v>997</v>
      </c>
    </row>
    <row r="74" spans="14:17" ht="15.95" customHeight="1" x14ac:dyDescent="0.3">
      <c r="N74" s="9" t="s">
        <v>27</v>
      </c>
      <c r="O74" s="1">
        <f t="shared" si="15"/>
        <v>49</v>
      </c>
      <c r="P74" s="1">
        <f t="shared" si="14"/>
        <v>255</v>
      </c>
      <c r="Q74" s="1">
        <f t="shared" si="10"/>
        <v>991</v>
      </c>
    </row>
    <row r="75" spans="14:17" ht="15.95" customHeight="1" x14ac:dyDescent="0.3">
      <c r="N75" s="9" t="s">
        <v>28</v>
      </c>
      <c r="O75" s="1">
        <f t="shared" si="15"/>
        <v>27</v>
      </c>
      <c r="P75" s="1">
        <f t="shared" si="14"/>
        <v>228</v>
      </c>
      <c r="Q75" s="1">
        <f t="shared" si="10"/>
        <v>962</v>
      </c>
    </row>
    <row r="76" spans="14:17" ht="15.95" customHeight="1" x14ac:dyDescent="0.3">
      <c r="N76" s="9" t="s">
        <v>29</v>
      </c>
      <c r="O76" s="1">
        <f t="shared" si="15"/>
        <v>31</v>
      </c>
      <c r="P76" s="1">
        <f t="shared" si="14"/>
        <v>203</v>
      </c>
      <c r="Q76" s="1">
        <f t="shared" si="10"/>
        <v>917</v>
      </c>
    </row>
    <row r="77" spans="14:17" ht="15.95" customHeight="1" x14ac:dyDescent="0.3">
      <c r="N77" s="9" t="s">
        <v>30</v>
      </c>
      <c r="O77" s="1">
        <f t="shared" si="15"/>
        <v>32</v>
      </c>
      <c r="P77" s="1">
        <f t="shared" si="14"/>
        <v>181</v>
      </c>
      <c r="Q77" s="1">
        <f t="shared" si="10"/>
        <v>869</v>
      </c>
    </row>
    <row r="78" spans="14:17" ht="15.95" customHeight="1" x14ac:dyDescent="0.3">
      <c r="N78" s="9" t="s">
        <v>31</v>
      </c>
      <c r="O78" s="1">
        <f t="shared" si="15"/>
        <v>30</v>
      </c>
      <c r="P78" s="1">
        <f t="shared" si="14"/>
        <v>169</v>
      </c>
      <c r="Q78" s="1">
        <f t="shared" si="10"/>
        <v>827</v>
      </c>
    </row>
    <row r="79" spans="14:17" ht="15.95" customHeight="1" x14ac:dyDescent="0.3">
      <c r="N79" s="9" t="s">
        <v>32</v>
      </c>
      <c r="O79" s="1">
        <f t="shared" si="15"/>
        <v>29</v>
      </c>
      <c r="P79" s="1">
        <f t="shared" si="14"/>
        <v>149</v>
      </c>
      <c r="Q79" s="1">
        <f t="shared" si="10"/>
        <v>793</v>
      </c>
    </row>
    <row r="80" spans="14:17" ht="15.95" customHeight="1" x14ac:dyDescent="0.3">
      <c r="N80" s="9" t="s">
        <v>33</v>
      </c>
      <c r="O80" s="1">
        <f t="shared" si="15"/>
        <v>21</v>
      </c>
      <c r="P80" s="1">
        <f t="shared" si="14"/>
        <v>143</v>
      </c>
      <c r="Q80" s="1">
        <f t="shared" si="10"/>
        <v>750</v>
      </c>
    </row>
    <row r="81" spans="14:17" ht="15.95" customHeight="1" x14ac:dyDescent="0.3">
      <c r="N81" s="9" t="s">
        <v>34</v>
      </c>
      <c r="O81" s="1">
        <f t="shared" si="15"/>
        <v>19</v>
      </c>
      <c r="P81" s="1">
        <f t="shared" si="14"/>
        <v>131</v>
      </c>
      <c r="Q81" s="1">
        <f t="shared" si="10"/>
        <v>702</v>
      </c>
    </row>
    <row r="82" spans="14:17" ht="15.95" customHeight="1" x14ac:dyDescent="0.3">
      <c r="N82" s="9" t="s">
        <v>35</v>
      </c>
      <c r="O82" s="1">
        <f t="shared" si="15"/>
        <v>27</v>
      </c>
      <c r="P82" s="1">
        <f t="shared" si="14"/>
        <v>126</v>
      </c>
      <c r="Q82" s="1">
        <f t="shared" si="10"/>
        <v>672</v>
      </c>
    </row>
    <row r="83" spans="14:17" ht="15.95" customHeight="1" x14ac:dyDescent="0.3">
      <c r="N83" s="9" t="s">
        <v>36</v>
      </c>
      <c r="O83" s="1">
        <f t="shared" si="15"/>
        <v>11</v>
      </c>
      <c r="P83" s="1">
        <f t="shared" si="14"/>
        <v>107</v>
      </c>
      <c r="Q83" s="1">
        <f t="shared" si="10"/>
        <v>620</v>
      </c>
    </row>
    <row r="84" spans="14:17" ht="15.95" customHeight="1" x14ac:dyDescent="0.3">
      <c r="N84" s="9" t="s">
        <v>37</v>
      </c>
      <c r="O84" s="1">
        <f t="shared" si="15"/>
        <v>8</v>
      </c>
      <c r="P84" s="1">
        <f t="shared" si="14"/>
        <v>86</v>
      </c>
      <c r="Q84" s="1">
        <f t="shared" si="10"/>
        <v>575</v>
      </c>
    </row>
    <row r="85" spans="14:17" ht="15.95" customHeight="1" x14ac:dyDescent="0.3">
      <c r="N85" s="9" t="s">
        <v>38</v>
      </c>
      <c r="O85" s="1">
        <f t="shared" si="15"/>
        <v>23</v>
      </c>
      <c r="P85" s="1">
        <f t="shared" si="14"/>
        <v>88</v>
      </c>
      <c r="Q85" s="1">
        <f t="shared" si="10"/>
        <v>557</v>
      </c>
    </row>
    <row r="86" spans="14:17" ht="15.95" customHeight="1" x14ac:dyDescent="0.3">
      <c r="N86" s="9" t="s">
        <v>39</v>
      </c>
      <c r="O86" s="1">
        <f t="shared" si="15"/>
        <v>17</v>
      </c>
      <c r="P86" s="1">
        <f t="shared" si="14"/>
        <v>86</v>
      </c>
      <c r="Q86" s="1">
        <f t="shared" si="10"/>
        <v>530</v>
      </c>
    </row>
    <row r="87" spans="14:17" ht="15.95" customHeight="1" x14ac:dyDescent="0.3">
      <c r="N87" s="9" t="s">
        <v>40</v>
      </c>
      <c r="O87" s="1">
        <f t="shared" si="15"/>
        <v>7</v>
      </c>
      <c r="P87" s="1">
        <f t="shared" si="14"/>
        <v>66</v>
      </c>
      <c r="Q87" s="1">
        <f t="shared" si="10"/>
        <v>483</v>
      </c>
    </row>
    <row r="88" spans="14:17" ht="15.95" customHeight="1" x14ac:dyDescent="0.3">
      <c r="N88" s="9" t="s">
        <v>41</v>
      </c>
      <c r="O88" s="1">
        <f t="shared" si="15"/>
        <v>5</v>
      </c>
      <c r="P88" s="1">
        <f t="shared" si="14"/>
        <v>60</v>
      </c>
      <c r="Q88" s="1">
        <f t="shared" si="10"/>
        <v>432</v>
      </c>
    </row>
    <row r="89" spans="14:17" ht="15.95" customHeight="1" x14ac:dyDescent="0.3">
      <c r="N89" s="9" t="s">
        <v>42</v>
      </c>
      <c r="O89" s="1">
        <f t="shared" si="15"/>
        <v>0</v>
      </c>
      <c r="P89" s="1">
        <f t="shared" si="14"/>
        <v>52</v>
      </c>
      <c r="Q89" s="1">
        <f t="shared" si="10"/>
        <v>378</v>
      </c>
    </row>
    <row r="90" spans="14:17" ht="15.95" customHeight="1" x14ac:dyDescent="0.3">
      <c r="N90" s="9" t="s">
        <v>43</v>
      </c>
      <c r="O90" s="1">
        <f t="shared" si="15"/>
        <v>3</v>
      </c>
      <c r="P90" s="1">
        <f t="shared" si="14"/>
        <v>32</v>
      </c>
      <c r="Q90" s="1">
        <f t="shared" si="10"/>
        <v>339</v>
      </c>
    </row>
    <row r="91" spans="14:17" ht="15.95" customHeight="1" x14ac:dyDescent="0.3">
      <c r="N91" s="9" t="s">
        <v>44</v>
      </c>
      <c r="O91" s="1">
        <f t="shared" si="15"/>
        <v>0</v>
      </c>
      <c r="P91" s="1">
        <f t="shared" si="14"/>
        <v>15</v>
      </c>
      <c r="Q91" s="1">
        <f t="shared" si="10"/>
        <v>290</v>
      </c>
    </row>
    <row r="92" spans="14:17" ht="15.95" customHeight="1" x14ac:dyDescent="0.3">
      <c r="N92" s="9" t="s">
        <v>45</v>
      </c>
      <c r="O92" s="1">
        <f t="shared" si="15"/>
        <v>0</v>
      </c>
      <c r="P92" s="1">
        <f t="shared" si="14"/>
        <v>8</v>
      </c>
      <c r="Q92" s="1">
        <f t="shared" si="10"/>
        <v>263</v>
      </c>
    </row>
  </sheetData>
  <phoneticPr fontId="2" type="noConversion"/>
  <pageMargins left="0.7" right="0.7" top="0.75" bottom="0.75" header="0.3" footer="0.3"/>
  <pageSetup paperSize="9" scale="6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연금수지_68세_조기3%감액(22년개정25년연령반영)</vt:lpstr>
      <vt:lpstr>'연금수지_68세_조기3%감액(22년개정25년연령반영)'!Print_Area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Hee Kim</dc:creator>
  <cp:lastModifiedBy>Kim Suyoung</cp:lastModifiedBy>
  <cp:lastPrinted>2025-05-22T01:53:15Z</cp:lastPrinted>
  <dcterms:created xsi:type="dcterms:W3CDTF">2023-10-16T06:54:08Z</dcterms:created>
  <dcterms:modified xsi:type="dcterms:W3CDTF">2026-06-02T01:58:48Z</dcterms:modified>
</cp:coreProperties>
</file>